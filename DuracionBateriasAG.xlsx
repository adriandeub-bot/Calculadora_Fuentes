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 activeTab="3"/>
  </bookViews>
  <sheets>
    <sheet name="Hoja 2" sheetId="1" r:id="rId1"/>
    <sheet name="Hoja 3" sheetId="2" r:id="rId2"/>
    <sheet name="Hoja 4" sheetId="3" r:id="rId3"/>
    <sheet name="Bateri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<sst xmlns="http://schemas.openxmlformats.org/spreadsheetml/2006/main" count="2245" uniqueCount="472">
  <si>
    <t>Tipo</t>
  </si>
  <si>
    <t>Uso</t>
  </si>
  <si>
    <t>No. de parte</t>
  </si>
  <si>
    <t>Voltaje (V)</t>
  </si>
  <si>
    <t>Corriente (Ah)</t>
  </si>
  <si>
    <t>Capacidad de la Batería (Wh)</t>
  </si>
  <si>
    <t>Lipo</t>
  </si>
  <si>
    <t>Drones, avión controlado RF</t>
  </si>
  <si>
    <t>9210000169-0</t>
  </si>
  <si>
    <t>Dispositivos RF</t>
  </si>
  <si>
    <t>DBT702030</t>
  </si>
  <si>
    <t>Drones</t>
  </si>
  <si>
    <t>YT5058</t>
  </si>
  <si>
    <t>GA-B-50C-5000-2S1P-HARD10</t>
  </si>
  <si>
    <t>Drones, avión RF</t>
  </si>
  <si>
    <t>DBT 703048D</t>
  </si>
  <si>
    <t>GA-B-25C-1550-3S1P-DEANS</t>
  </si>
  <si>
    <t>RB-10P008</t>
  </si>
  <si>
    <t>YT5062</t>
  </si>
  <si>
    <t>YT5067</t>
  </si>
  <si>
    <t>YT5068</t>
  </si>
  <si>
    <t>DBT 684212J</t>
  </si>
  <si>
    <t>3</t>
  </si>
  <si>
    <t>KD 763462</t>
  </si>
  <si>
    <t>1.3</t>
  </si>
  <si>
    <t>Capacidad Batería (Wh)</t>
  </si>
  <si>
    <t>Ácido Plomo</t>
  </si>
  <si>
    <t>UPS, Seguridad, Energía Solar y Eólica, Telecom, Vehículos Eléctricos Ligeros, Alumbrado</t>
  </si>
  <si>
    <t>PM 4-4</t>
  </si>
  <si>
    <t>UPS, Telecom, Sistemas de Seguridad y Emergencia, Equipos Médicos, Energía Solar y eólica, Sistemas marinos, iluminación</t>
  </si>
  <si>
    <t>PS440</t>
  </si>
  <si>
    <t>PS445</t>
  </si>
  <si>
    <t>UPS, Vehículos Eléctricos, Iluminación de Emergencia</t>
  </si>
  <si>
    <t>MS 1.3-6</t>
  </si>
  <si>
    <t>MS 9-12</t>
  </si>
  <si>
    <t>UPS, Equipos Industriales, Energías Renovables, Vehículos Eléctricos</t>
  </si>
  <si>
    <t>PM 1.3-6</t>
  </si>
  <si>
    <t>PM 1.5-6</t>
  </si>
  <si>
    <t>Alarmas y seguridad, Telecom, Juguetes y Aparatos Eléctricos, Iluminación de emergencia, UPS, Equipo Médico</t>
  </si>
  <si>
    <t>PS610</t>
  </si>
  <si>
    <t>PS612</t>
  </si>
  <si>
    <t>UPS, Equipos médicos y de emergencia, Sistemas de seguridad y alarma, Juguetes</t>
  </si>
  <si>
    <t>PM 2.8-6</t>
  </si>
  <si>
    <t>UPS, Equipos portátiles, Energías renovables, Iluminación de emergencia, Equipo Médico, Protección contra Incendios</t>
  </si>
  <si>
    <t>PS621</t>
  </si>
  <si>
    <t>PS628</t>
  </si>
  <si>
    <t>UPS, Energías Renovables, Telecom, Sistemas de seguridad, Iluminación de emergencia</t>
  </si>
  <si>
    <t>PM 3.2-6</t>
  </si>
  <si>
    <t>UPS, Seguridad, Equipo Médico y Movilidad, Telecom, Sistemas de emergencia, Iluminación de emergencia, Protección contra incendios</t>
  </si>
  <si>
    <t>PS630</t>
  </si>
  <si>
    <t>PS632</t>
  </si>
  <si>
    <t>Juguetes, Vehículos Eléctricos, UPS, No breaks, linternas de emergencia, Equipos médicos e industriales</t>
  </si>
  <si>
    <t>NP 4-6</t>
  </si>
  <si>
    <t>UPS, Motores de combustión, Vehículos eléctricos ligeros, Energía solar y eólica, Telecom, Sistemas Médicos, Sistemas de seguridad</t>
  </si>
  <si>
    <t>PM 4-6</t>
  </si>
  <si>
    <t>iluminación de emergencia, Equipo Médico, Protección contra Incendios</t>
  </si>
  <si>
    <t>PS640</t>
  </si>
  <si>
    <t>PM 5-6</t>
  </si>
  <si>
    <t>PS 650LS</t>
  </si>
  <si>
    <t>UPS, Seguridad y alarma, Telecom, Equipos Portátiles y de emergencia</t>
  </si>
  <si>
    <t>PSH-655FR</t>
  </si>
  <si>
    <t>UPS, Equipos de seguridad y alarma, Juguetes y electrónica portatil, Equipos de sonido portátiles</t>
  </si>
  <si>
    <t>NP7-6</t>
  </si>
  <si>
    <t>Baterías de arranque (SLI), Sistemas de respaldo y UPS, energías renovables, automotores eléctricos, sistemas de energía solar y eólica, montacargas, carretillas eléctricas, barredoras</t>
  </si>
  <si>
    <t>PM7-6</t>
  </si>
  <si>
    <t>Aplicaciones cíclicas de luz, flotadores de uso general, sistemas dde seguridad y contra incendios, iluminación de emergencia, UPS, juguetes, dispositivos médicos</t>
  </si>
  <si>
    <t>PS670</t>
  </si>
  <si>
    <t>PM 8-6</t>
  </si>
  <si>
    <t>PS 682</t>
  </si>
  <si>
    <t>UPS, alarmas, videovigilancia, iluminación de emergencia, equipos de audio portátiles, cámaras de video, juguetes, sistemas solares, vehículos industriales</t>
  </si>
  <si>
    <t>PM 10-6</t>
  </si>
  <si>
    <t>NP 12-6</t>
  </si>
  <si>
    <t>PM 12-6</t>
  </si>
  <si>
    <t>sistemas de acceso, videovigilancia, dtección de incendios, Telecom, Equipos Médicos, sistemas de iluminación de emergencia, sistemas de energías renovables</t>
  </si>
  <si>
    <t>PS 6100</t>
  </si>
  <si>
    <t>Propósito general, iluminación de emergencia, equipo médico, protección contra incendios</t>
  </si>
  <si>
    <t>PS 6100f2</t>
  </si>
  <si>
    <t>PS 6120FP</t>
  </si>
  <si>
    <t>PS 6360F2</t>
  </si>
  <si>
    <t>Uso general, reserva, Ondulador (Inversor), aplicaciones médicas, alumbrado de emergencia</t>
  </si>
  <si>
    <t>PS832</t>
  </si>
  <si>
    <t>Arranque de motores, Sistemas UPS, paneles solares y aerogeneradores, iluminaión liviana</t>
  </si>
  <si>
    <t>PS128</t>
  </si>
  <si>
    <t>0.8</t>
  </si>
  <si>
    <t>Seguridad y alarmas, iluminación de emergencia, UPS, Equipo Médico, Telecomunicaciones, Tracción ligera</t>
  </si>
  <si>
    <t>NP 1.2-12</t>
  </si>
  <si>
    <t>Propósito general, Equipo Médico, iluminación de emergencia, sistemas de seguridad</t>
  </si>
  <si>
    <t>PM 1.3-12</t>
  </si>
  <si>
    <t>Sistemas de seguridad y alarma, iluminación de emergencia, equipo médico, UPS, uso general juguetes eléctricos</t>
  </si>
  <si>
    <t>PS1212</t>
  </si>
  <si>
    <t>NP2-12</t>
  </si>
  <si>
    <t>NP2.3-12</t>
  </si>
  <si>
    <t>PM2.3-12</t>
  </si>
  <si>
    <t>PM2.6-12</t>
  </si>
  <si>
    <t>31.2</t>
  </si>
  <si>
    <t>Sistemas de seguridad y alarmas, No break y UPS, iluminación de emergencia, equipos médicos, Juguetes y dispositivos electrónicos, telecom</t>
  </si>
  <si>
    <t>PS1220</t>
  </si>
  <si>
    <t>PS1221S</t>
  </si>
  <si>
    <t>PS1223</t>
  </si>
  <si>
    <t>PS1227</t>
  </si>
  <si>
    <t>34.8</t>
  </si>
  <si>
    <t>PS1228</t>
  </si>
  <si>
    <t>33.6</t>
  </si>
  <si>
    <t>PS1229</t>
  </si>
  <si>
    <t>Energía de reserva, alarmas, iluminación de emergencia, equipos de monitoreo meédico, UPS, seeñalización vial, proyectos de robótica</t>
  </si>
  <si>
    <t>NP3.4-12</t>
  </si>
  <si>
    <t>40.8</t>
  </si>
  <si>
    <t>Sistemas de seguridad, alarmas contra incendios, equipos médicos, UPS, iluminación de emergencia, telecomunicaciones</t>
  </si>
  <si>
    <t>PS1230</t>
  </si>
  <si>
    <t>PS1238</t>
  </si>
  <si>
    <t>45.6</t>
  </si>
  <si>
    <t>UPS/Nobreak, iluminación de emergencia, alarmas, carros eléctricos, equipo industrial o médico</t>
  </si>
  <si>
    <t>NPY4.5-12</t>
  </si>
  <si>
    <t>PM4-12</t>
  </si>
  <si>
    <t>UPS, iluminación de emergencia y sistemas de seguridad, Equipos médico y movilidad, vehículos y transporte ligero, Industria, proyectos de robótica</t>
  </si>
  <si>
    <t>NP5-12</t>
  </si>
  <si>
    <t>NP5-12F2</t>
  </si>
  <si>
    <t>PM5-12</t>
  </si>
  <si>
    <t>PM5.5-12</t>
  </si>
  <si>
    <t>PS1250</t>
  </si>
  <si>
    <t>PS1250F1</t>
  </si>
  <si>
    <t>NP7-12</t>
  </si>
  <si>
    <t>NP7-12F</t>
  </si>
  <si>
    <t>PM7-12</t>
  </si>
  <si>
    <t>PS1270</t>
  </si>
  <si>
    <t>PS1270F</t>
  </si>
  <si>
    <t>PS1280</t>
  </si>
  <si>
    <t>NP9-12</t>
  </si>
  <si>
    <t>PM9-12</t>
  </si>
  <si>
    <t>PS1290</t>
  </si>
  <si>
    <t>PM10-12</t>
  </si>
  <si>
    <t>PS12100H</t>
  </si>
  <si>
    <t>NP12-12</t>
  </si>
  <si>
    <t>PM12-12</t>
  </si>
  <si>
    <t>PS12120</t>
  </si>
  <si>
    <t>PS12140</t>
  </si>
  <si>
    <t>PM17-12</t>
  </si>
  <si>
    <t>NP18-12</t>
  </si>
  <si>
    <t>PM18-12</t>
  </si>
  <si>
    <t>PS12180</t>
  </si>
  <si>
    <t>PS12180F2</t>
  </si>
  <si>
    <t>PM20-12</t>
  </si>
  <si>
    <t>PS12200NB</t>
  </si>
  <si>
    <t>UPS, telecom, iluminación de emergencia y seguridad, sistemas de control de acceso, energías renovables, equipos médicos, estaciones de bombeo</t>
  </si>
  <si>
    <t>PSH 12180</t>
  </si>
  <si>
    <t>NP24-12</t>
  </si>
  <si>
    <t>NP24-12B</t>
  </si>
  <si>
    <t>PM26-12</t>
  </si>
  <si>
    <t>PS12260</t>
  </si>
  <si>
    <t>PS12260NB</t>
  </si>
  <si>
    <t>PM2812</t>
  </si>
  <si>
    <t>PS12280</t>
  </si>
  <si>
    <t>NP33-12</t>
  </si>
  <si>
    <t>PM33-12</t>
  </si>
  <si>
    <t>PS12330</t>
  </si>
  <si>
    <t>PS12350</t>
  </si>
  <si>
    <t>PM36-12</t>
  </si>
  <si>
    <t>Telecomuniciones, UPS, Centros de datos, Almacenamiento de energía, Iluminación de emergencia, seguridad, Equipo médico e industrial, fuerza motríz</t>
  </si>
  <si>
    <t>DJM1238</t>
  </si>
  <si>
    <t>NP38-12</t>
  </si>
  <si>
    <t>PM38-12</t>
  </si>
  <si>
    <t xml:space="preserve">Sistemas de potencia, UPS, Equipo de conexión de red, Equipo de red especial LAN, Sistema de centrales eléctricas </t>
  </si>
  <si>
    <t>FT12-40</t>
  </si>
  <si>
    <t>Telecomunicaciones, UPS, Sistemas de centrales eléctricas, Alimentación de respaldo de emergencia, Sistemas de alarma y seguridad, Sistemas de control automatizado</t>
  </si>
  <si>
    <t>MM40-12</t>
  </si>
  <si>
    <t>PM40-12</t>
  </si>
  <si>
    <t>PS12400</t>
  </si>
  <si>
    <t>NP55-12</t>
  </si>
  <si>
    <t>PM55-12</t>
  </si>
  <si>
    <t>PS12550U</t>
  </si>
  <si>
    <t>PM60-12</t>
  </si>
  <si>
    <t>DJM1265</t>
  </si>
  <si>
    <t>PM65-12</t>
  </si>
  <si>
    <t>PS12650</t>
  </si>
  <si>
    <t>PM75-12</t>
  </si>
  <si>
    <t>PS12750</t>
  </si>
  <si>
    <t>PM80-12</t>
  </si>
  <si>
    <t>DJM12100</t>
  </si>
  <si>
    <t>FT12-100</t>
  </si>
  <si>
    <t>PS121000</t>
  </si>
  <si>
    <t>PS121000B</t>
  </si>
  <si>
    <t>PS121100B</t>
  </si>
  <si>
    <t>FT12-150</t>
  </si>
  <si>
    <t>Centros de procesamiento de datos, UPS de alta tasa, Equipos médicos, Equipos de emergencia, Sistemas de alarmas</t>
  </si>
  <si>
    <t>PHR-12150</t>
  </si>
  <si>
    <t>PHR-1236</t>
  </si>
  <si>
    <t>PHR-12500</t>
  </si>
  <si>
    <t>PMH12-12</t>
  </si>
  <si>
    <t>PMH14-12</t>
  </si>
  <si>
    <t>PMH20-12</t>
  </si>
  <si>
    <t>PHR-12200</t>
  </si>
  <si>
    <t>PHR-12300</t>
  </si>
  <si>
    <t>PHR-12350</t>
  </si>
  <si>
    <t>PHR-12400</t>
  </si>
  <si>
    <t>UPS, Energía Solar y Eólica, Vehículos eléctricos, Dispositivos médicos avanzados, Telecomunicaciones, Equipos de emergencia, Luces de emergencia Equipos de movilidad eléctrica</t>
  </si>
  <si>
    <t>PG-12V28FR</t>
  </si>
  <si>
    <t>PG-12V42FR</t>
  </si>
  <si>
    <t>PG-12V45-M6-FR</t>
  </si>
  <si>
    <t>PG-12V75FR</t>
  </si>
  <si>
    <t>PG-12V100FR</t>
  </si>
  <si>
    <t>98.8</t>
  </si>
  <si>
    <t>1185.6</t>
  </si>
  <si>
    <t>PG-12V130FR</t>
  </si>
  <si>
    <t>PG-12V140FR</t>
  </si>
  <si>
    <t>Vehículos eléctricos industriales, Vehículos recreativos (Embarcaciones, Autocaravanas, carritos de golf), Equipos médicos, Energía Solar y Eólica, Equipos de movilidad eléctrica</t>
  </si>
  <si>
    <t>MN38-12</t>
  </si>
  <si>
    <t>PDC-1285</t>
  </si>
  <si>
    <t>PMD18-12</t>
  </si>
  <si>
    <t>PMD24-12</t>
  </si>
  <si>
    <t>PMD33-12</t>
  </si>
  <si>
    <t>PMD38-12</t>
  </si>
  <si>
    <t>PDC-122000B</t>
  </si>
  <si>
    <t>Vehículos eléctricos industriales, Vehículos recreativos (Embarcaciones, Autocaravanas, carritos de golf), Maquinaria de limpieza, Energía Solar y Eólica, Equipos de movilidad eléctrica</t>
  </si>
  <si>
    <t>TRO-T105+</t>
  </si>
  <si>
    <t>TRO-T875</t>
  </si>
  <si>
    <t>UPS, Energía Solar y Eólica, Vehículos eléctricos, Dispositivos médicos avanzados, Telecomunicaciones, Equipos de emergencia, Equipos de movilidad eléctrica</t>
  </si>
  <si>
    <t>PMG33-12</t>
  </si>
  <si>
    <t>PMG40-12</t>
  </si>
  <si>
    <t>MNG55-12</t>
  </si>
  <si>
    <t>PMG65-12</t>
  </si>
  <si>
    <t>PMG70-12</t>
  </si>
  <si>
    <t>PMG100-12</t>
  </si>
  <si>
    <t>MNG120-12</t>
  </si>
  <si>
    <t>PMG120-12</t>
  </si>
  <si>
    <t>PMG150-12</t>
  </si>
  <si>
    <t>PMG200-12</t>
  </si>
  <si>
    <t>XE-30</t>
  </si>
  <si>
    <t>XE-40</t>
  </si>
  <si>
    <t>XE-60</t>
  </si>
  <si>
    <t>Motocicletas</t>
  </si>
  <si>
    <t>BT5L-BS</t>
  </si>
  <si>
    <t>BT7A-BS</t>
  </si>
  <si>
    <t>BT7L-BS</t>
  </si>
  <si>
    <t>BT9-BS</t>
  </si>
  <si>
    <t>BT12-BS</t>
  </si>
  <si>
    <t>BT14-BS</t>
  </si>
  <si>
    <t>PMF100-12</t>
  </si>
  <si>
    <t>PMF150-12</t>
  </si>
  <si>
    <t>PMF200-12</t>
  </si>
  <si>
    <t>Alcalinas</t>
  </si>
  <si>
    <t>Juguetes electrónicos, Linternas, Radios portátiles, Instrumentos de audio</t>
  </si>
  <si>
    <t>E93BP-2</t>
  </si>
  <si>
    <t>37.5</t>
  </si>
  <si>
    <t>Juguetes electrónicos, Controles remotos, Alarmas inalámbricas, Monitores de azucar de sangre</t>
  </si>
  <si>
    <t>BAT-23A</t>
  </si>
  <si>
    <t>Juguetes electrónicos, Multimetros, Dispositivos médicos, Detectores de humo, Proyectos de electrónica</t>
  </si>
  <si>
    <t>GP-9V</t>
  </si>
  <si>
    <t>0.15</t>
  </si>
  <si>
    <t>1.35</t>
  </si>
  <si>
    <t>Litio</t>
  </si>
  <si>
    <t>Dispositivos electrónicos portátiles (relojes, audifonos de apoyo auditivo, calculadora, controles remotos), Hogar y salud (Termometros, basculas, adornos electrónicos) , Sensores IoT</t>
  </si>
  <si>
    <t>CR1216</t>
  </si>
  <si>
    <t>CR1220</t>
  </si>
  <si>
    <t>CR1225</t>
  </si>
  <si>
    <t>CR1616</t>
  </si>
  <si>
    <t>0.05</t>
  </si>
  <si>
    <t>CR1620</t>
  </si>
  <si>
    <t>CR1632</t>
  </si>
  <si>
    <t>CR2016</t>
  </si>
  <si>
    <t>0.08</t>
  </si>
  <si>
    <t>0.24</t>
  </si>
  <si>
    <t>CR2025</t>
  </si>
  <si>
    <t>0.17</t>
  </si>
  <si>
    <t>0.51</t>
  </si>
  <si>
    <t>CR2032</t>
  </si>
  <si>
    <t>CR2320</t>
  </si>
  <si>
    <t>0.45</t>
  </si>
  <si>
    <t>CR2325</t>
  </si>
  <si>
    <t>0.19</t>
  </si>
  <si>
    <t>0.57</t>
  </si>
  <si>
    <t>CR2330</t>
  </si>
  <si>
    <t>0.25</t>
  </si>
  <si>
    <t>0.75</t>
  </si>
  <si>
    <t>CR2354</t>
  </si>
  <si>
    <t>0.35</t>
  </si>
  <si>
    <t>CR2430</t>
  </si>
  <si>
    <t>CR2450</t>
  </si>
  <si>
    <t>0.54</t>
  </si>
  <si>
    <t>1.62</t>
  </si>
  <si>
    <t>CR2477</t>
  </si>
  <si>
    <t>0.95</t>
  </si>
  <si>
    <t>2.85</t>
  </si>
  <si>
    <t>CR3032</t>
  </si>
  <si>
    <t>0.56</t>
  </si>
  <si>
    <t>1.68</t>
  </si>
  <si>
    <t>Cámaras digitales, sensores de alarma y seguridad, electrónica profesional, dispositivos médicos, relojes de tiempo real</t>
  </si>
  <si>
    <t>BR-2/3A</t>
  </si>
  <si>
    <t>CR123A</t>
  </si>
  <si>
    <t>1.55</t>
  </si>
  <si>
    <t>4.65</t>
  </si>
  <si>
    <t>ER-26500H</t>
  </si>
  <si>
    <t>32.4</t>
  </si>
  <si>
    <t>ER-34615H</t>
  </si>
  <si>
    <t>Dispositivos portatiles (laptops, linternas LED, herramientas eléctricas, cámaras digitales), Drones pequeños, Movilidad eléctrica (e-bikes, scooters eléctricos, autos eléctricos) Almacenamiento estacionario (Bancos de baterías, UPS)</t>
  </si>
  <si>
    <t>BAT-14500-1100MAH</t>
  </si>
  <si>
    <t>HDCNR18650-2200-3.7V</t>
  </si>
  <si>
    <t>8.14</t>
  </si>
  <si>
    <t>HDCNR18650-2600-3.7V</t>
  </si>
  <si>
    <t>9.62</t>
  </si>
  <si>
    <t>HDCNR18650-3000-3.7V</t>
  </si>
  <si>
    <t>HDCNR18650-3200-3.7V</t>
  </si>
  <si>
    <t>11.84</t>
  </si>
  <si>
    <t>PW18650</t>
  </si>
  <si>
    <t>HDCNR21700-4000-3.7V</t>
  </si>
  <si>
    <t>HDCNR21700-5000-3.7V</t>
  </si>
  <si>
    <t>BAT-26650-5000MAH</t>
  </si>
  <si>
    <t>HDCNR26650-4500-3.7V</t>
  </si>
  <si>
    <t>16.65</t>
  </si>
  <si>
    <t>HDCNR26650-5000-3.7V</t>
  </si>
  <si>
    <t>EBIKE</t>
  </si>
  <si>
    <t>HDEB36-13(36V13AH)</t>
  </si>
  <si>
    <t>HDEB36-20(36V20AH)</t>
  </si>
  <si>
    <t>HDEB48-13(48V13AH)</t>
  </si>
  <si>
    <t>HDEB48-20(48V20AH)</t>
  </si>
  <si>
    <t>Drones, Vehículos RC, Robótica aficionada, Uso médico (suministro emergencia)</t>
  </si>
  <si>
    <t>0.3</t>
  </si>
  <si>
    <t>0.5</t>
  </si>
  <si>
    <t>1.85</t>
  </si>
  <si>
    <t>0.85</t>
  </si>
  <si>
    <t>14.43</t>
  </si>
  <si>
    <t>15.54</t>
  </si>
  <si>
    <t>19.24</t>
  </si>
  <si>
    <t>TA-HC-75C-1300-4S1P</t>
  </si>
  <si>
    <t>TA-RL-95C-1300-4S1P-SQUAR</t>
  </si>
  <si>
    <t>TA-RL2.0-100C-1300-4S1P-H</t>
  </si>
  <si>
    <t>TA-45C-1550-4S1P-XT60</t>
  </si>
  <si>
    <t>22.94</t>
  </si>
  <si>
    <t>TA-RL-95C-1550-4S1P-SQUAR</t>
  </si>
  <si>
    <t>23.31</t>
  </si>
  <si>
    <t>TA-RL-95C-1300-5S1P</t>
  </si>
  <si>
    <t>44.4</t>
  </si>
  <si>
    <t>DBT 8634106</t>
  </si>
  <si>
    <t>57.72</t>
  </si>
  <si>
    <t>N4000.5S.25</t>
  </si>
  <si>
    <t>GA-B-45C-5000-5S1P-DEANS</t>
  </si>
  <si>
    <t>92.5</t>
  </si>
  <si>
    <t>9526000002-0</t>
  </si>
  <si>
    <t>266.4</t>
  </si>
  <si>
    <t>912700013-0</t>
  </si>
  <si>
    <t>355.2</t>
  </si>
  <si>
    <t>Niquel</t>
  </si>
  <si>
    <t>Electrónica de consumo (juguetes, linternas, controles remotos), alimentación de circuitos en Protoboard</t>
  </si>
  <si>
    <t>RB-10P010</t>
  </si>
  <si>
    <t>2.88</t>
  </si>
  <si>
    <t>Iluminación de mergencia</t>
  </si>
  <si>
    <t>CUSTOM-71</t>
  </si>
  <si>
    <t>3.36</t>
  </si>
  <si>
    <t>Oxido de Plata</t>
  </si>
  <si>
    <t>Relojes de pulsera analógicos, relojes digitales, cronómetros y medidores de precisión, calculadoras, controles remotos de dispositivos específicos, pequeños juguetes y dispositivos de iluminación LED, equipos de reserva de memoria CMOS</t>
  </si>
  <si>
    <t>SR621SW</t>
  </si>
  <si>
    <t>CR 364</t>
  </si>
  <si>
    <t>CR 377</t>
  </si>
  <si>
    <t>SR626</t>
  </si>
  <si>
    <t>SR920</t>
  </si>
  <si>
    <t>SR927</t>
  </si>
  <si>
    <t>0.06</t>
  </si>
  <si>
    <t>SR1130W</t>
  </si>
  <si>
    <t>SR936SW</t>
  </si>
  <si>
    <t>LiFEPO4</t>
  </si>
  <si>
    <t>Pack para baterías de bicicletas/scooters eléctricos, estaciones de energía portátiles, Energía Solar y Eólica, iluminación LED de larga duración, equipos GPS o sensores remotos.</t>
  </si>
  <si>
    <t>HDCF18650-2000-3.2V</t>
  </si>
  <si>
    <t>HDCF18650-3000-3.2V</t>
  </si>
  <si>
    <t>HDCF18650-3400-3.2V</t>
  </si>
  <si>
    <t>10.88</t>
  </si>
  <si>
    <t>HDCF18650-4500-3.2V</t>
  </si>
  <si>
    <t>Herramientas eléctricas, UPS de alta tasa, Sistemas de arranque que necesitan un alto amperaje inicial, equipos médicos portátiles de alto rendimiento, linternas de alta potencia, electrónica industrial</t>
  </si>
  <si>
    <t>PSL-FP-IFR26650PC</t>
  </si>
  <si>
    <t>7.36</t>
  </si>
  <si>
    <t>Energía Solar y Eólica, SAI/UPS, Vehiculos eléctricos y maquinaria grande, Modelos y vehículos RC, iluminación LED de emergencia, sistemas CCTV.</t>
  </si>
  <si>
    <t>HDEL12.8V3.0AH</t>
  </si>
  <si>
    <t>38.4</t>
  </si>
  <si>
    <t>HDEL12.8V4.0AH</t>
  </si>
  <si>
    <t>51.2</t>
  </si>
  <si>
    <t>HDEL12.8V6.0AH</t>
  </si>
  <si>
    <t>76.8</t>
  </si>
  <si>
    <t>HDEL12.8V8.0AH</t>
  </si>
  <si>
    <t>102.4</t>
  </si>
  <si>
    <t>HDEL9.6V4.0AH</t>
  </si>
  <si>
    <t>HDEL9.6V8.0AH</t>
  </si>
  <si>
    <t>Centros de procesamiento de datos, SAI/UPS de alta tasa, Equipos médicos, Equipos de emergencia, Sistemas de alarmas</t>
  </si>
  <si>
    <t>SAI/UPS, Almacenamiento de energía solar y eólica, Vehículos eléctricos, Dispositivos médicos avanzados, Telecomunicaciones, Equipos de emergencia, Luces de emergencia Equipos de movilidad eléctrica</t>
  </si>
  <si>
    <t>Vehículos eléctricos industriales, Vehículos recreativos (Embarcaciones, Autocaravanas, carritos de golf), Equipos médicos, Almacenamiento de energía solar, Equipos de movilidad eléctrica</t>
  </si>
  <si>
    <t>Vehículos eléctricos industriales, Vehículos recreativos (Embarcaciones, Autocaravanas, carritos de golf), Maquinaria de limpieza, Almacenamiento de energía solar, Equipos de movilidad eléctrica</t>
  </si>
  <si>
    <t>SAI/UPS, Almacenamiento de energía solar y eólica, Vehículos eléctricos, Dispositivos médicos avanzados, Telecomunicaciones, Equipos de emergencia, Equipos de movilidad eléctrica</t>
  </si>
  <si>
    <t>MOTOCICLETAS</t>
  </si>
  <si>
    <t>Electrónica de consumo (jugeuetes, linternas, controles remotos), alimentación de circuitos en Protoboard</t>
  </si>
  <si>
    <t>Pack para baterías de bicicletas/scooters eléctricos, estaciones de energía portátiles, sistemas solares y eólicos, iluminación LED de larga duración, equipos GPS o sensores remotos.</t>
  </si>
  <si>
    <t>Almacenamiento de energía solar, SAI/UPS, Vehiculos eléctricos y maquinaria grande, Modelos y vehículos RC, iluminación LED de emergencia, sistemas CCTV.</t>
  </si>
  <si>
    <t>UPS/Nobreak, Telecomunicaciones, Energía solar, Energía Eólica, Seguridad y alarma, Vehículos eléctricos</t>
  </si>
  <si>
    <t>UPS/Nobreak, Telecomunicaciones, Energía solar, Energía Eólica, Seguridad y alarma, Equipo médico, Vehículos eléctricos</t>
  </si>
  <si>
    <t>UPS/Nobreak, Vehículos eléctricos</t>
  </si>
  <si>
    <t>UPS/Nobreak, Energía solar, Energía Eólica, Equipo industrial, Vehículos eléctricos</t>
  </si>
  <si>
    <t>UPS/Nobreak, Telecomunicaciones, Seguridad y alarma, Equipo médico, Juguetes y electrónica portátil</t>
  </si>
  <si>
    <t>UPS/Nobreak, Seguridad y alarma, Equipo médico, Juguetes y electrónica portátil</t>
  </si>
  <si>
    <t>UPS/Nobreak, Energía solar, Energía Eólica, Protección/detección contra incendios, Equipo médico, Dispositivos portátiles</t>
  </si>
  <si>
    <t>UPS/Nobreak, Telecomunicaciones, Energía solar, Energía Eólica, Seguridad y alarma</t>
  </si>
  <si>
    <t>UPS/Nobreak, Telecomunicaciones, Seguridad y alarma, Protección/detección contra incendios, Equipo médico</t>
  </si>
  <si>
    <t>UPS/Nobreak, Equipo médico, Juguetes y electrónica portátil, Vehículos eléctricos, Linternas</t>
  </si>
  <si>
    <t>UPS/Nobreak, Telecomunicaciones, Energía solar, Energía Eólica, Seguridad y alarma, Motores de combustión, Vehículos eléctricos</t>
  </si>
  <si>
    <t>Protección/detección contra incendios, Equipo médico</t>
  </si>
  <si>
    <t>UPS/Nobreak, Telecomunicaciones, Seguridad y alarma, Dispositivos portátiles</t>
  </si>
  <si>
    <t>UPS/Nobreak, Seguridad y alarma, Audio/sonido portátil, Juguetes y electrónica portátil</t>
  </si>
  <si>
    <t>UPS/Nobreak, Energía solar, Energía Eólica, Arranque motor (SLI)</t>
  </si>
  <si>
    <t>UPS/Nobreak, Seguridad y alarma, Protección/detección contra incendios, Juguetes y electrónica portátil</t>
  </si>
  <si>
    <t>UPS/Nobreak, Energía solar, Energía Eólica, Videovigilancia (CCTV), Audio/sonido portátil, Cámaras y video, Juguetes y electrónica portátil, Vehículos eléctricos</t>
  </si>
  <si>
    <t>Telecomunicaciones, Energía solar, Energía Eólica, Videovigilancia (CCTV), Protección/detección contra incendios, Equipo médico, Cámaras y video, Control de acceso</t>
  </si>
  <si>
    <t>Equipo médico</t>
  </si>
  <si>
    <t>UPS/Nobreak, Arranque motor (SLI)</t>
  </si>
  <si>
    <t>UPS/Nobreak, Telecomunicaciones, Seguridad y alarma, Equipo médico, Vehículos eléctricos</t>
  </si>
  <si>
    <t>Seguridad y alarma, Equipo médico</t>
  </si>
  <si>
    <t>UPS/Nobreak, Señalización vial, Robótica (hobby/proyectos)</t>
  </si>
  <si>
    <t>UPS/Nobreak, Equipo industrial</t>
  </si>
  <si>
    <t>UPS/Nobreak, Seguridad y alarma, Equipo médico, Equipo industrial, Robótica (hobby/proyectos), Vehículos eléctricos</t>
  </si>
  <si>
    <t>UPS/Nobreak, Telecomunicaciones, Energía solar, Energía Eólica, Seguridad y alarma, Equipo médico, Control de acceso, Estaciones de bombeo</t>
  </si>
  <si>
    <t>UPS/Nobreak, Telecomunicaciones, Centros de datos/TI, Seguridad y alarma, Equipo médico, Equipo industrial, Almacenamiento de energía/BESS</t>
  </si>
  <si>
    <t>UPS/Nobreak, Centros de datos/TI,  Sistemas de potencia</t>
  </si>
  <si>
    <t>UPS/Nobreak, Telecomunicaciones,  Sistemas de potencia, Seguridad y alarma</t>
  </si>
  <si>
    <t>UPS/Nobreak, Centros de datos/TI, Equipo médico, Alto rendimiento</t>
  </si>
  <si>
    <t>UPS/Nobreak, Telecomunicaciones, Energía solar, Energía Eólica, Movilidad eléctrica, Vehículos eléctricos, Larga vida</t>
  </si>
  <si>
    <t>PG-12V55FR</t>
  </si>
  <si>
    <t>UPS/Nobreak, Telecomunicaciones, Energía solar, Energía Eólica, Movilidad eléctrica, Vehículos eléctricos</t>
  </si>
  <si>
    <t>Energía solar, Energía Eólica, Equipo médico, Movilidad eléctrica, Vehículos eléctricos, Vehículos eléctricos, Ciclo profundo, AGM</t>
  </si>
  <si>
    <t>MN 38-12</t>
  </si>
  <si>
    <t>Energía solar, Energía Eólica, Movilidad eléctrica, Vehículos eléctricos, Vehículos eléctricos, Maquinaria de limpieza, Ciclo profundo, Humedas (Wet)</t>
  </si>
  <si>
    <t>UPS/Nobreak, Telecomunicaciones, Energía solar, Energía Eólica, Movilidad eléctrica, Vehículos eléctricos, Grado industrial</t>
  </si>
  <si>
    <t>XE-13</t>
  </si>
  <si>
    <t>Vehículos eléctricos, Motocicleta</t>
  </si>
  <si>
    <t>UPS/Nobreak, Telecomunicaciones, Centros de datos/TI,  Sistemas de potencia</t>
  </si>
  <si>
    <t>Audio/sonido portátil, Juguetes y electrónica portátil, Linternas, Radios portátiles</t>
  </si>
  <si>
    <t>Juguetes y electrónica portátil</t>
  </si>
  <si>
    <t>Juguetes y electrónica portátil, Multímetros, Protección/detección contra incendios</t>
  </si>
  <si>
    <t>Hogar y salúd, Sensores IoT, Relojería e instrumentación, Tipo botón</t>
  </si>
  <si>
    <t>CR 1216</t>
  </si>
  <si>
    <t>CR 1220</t>
  </si>
  <si>
    <t>CR 1225</t>
  </si>
  <si>
    <t>CR 1616</t>
  </si>
  <si>
    <t>CR 1620</t>
  </si>
  <si>
    <t>CR 1632</t>
  </si>
  <si>
    <t>CR 2016</t>
  </si>
  <si>
    <t>CR 2025</t>
  </si>
  <si>
    <t>CR 2032</t>
  </si>
  <si>
    <t>CR 2320</t>
  </si>
  <si>
    <t>CR 2325</t>
  </si>
  <si>
    <t>CR 2330</t>
  </si>
  <si>
    <t>CR 2354</t>
  </si>
  <si>
    <t>CR 2430</t>
  </si>
  <si>
    <t>CR 2450</t>
  </si>
  <si>
    <t>CR 2477</t>
  </si>
  <si>
    <t>CR 3032</t>
  </si>
  <si>
    <t>Seguridad y alarma, Cámaras y video, Relojería e instrumentación, Electrónica profesional, Batería cilíndrica</t>
  </si>
  <si>
    <t>UPS/Nobreak, Dispositivos portátiles, Cámaras y video, Movilidad eléctrica, Almacenamiento de energía/BESS, Herramientas eléctricas, Drones, Linternas, Batería cilíndrica</t>
  </si>
  <si>
    <t>Robótica (hobby/proyectos), Modelismo/RC, Drones</t>
  </si>
  <si>
    <t>Juguetes y electrónica portátil, Linternas</t>
  </si>
  <si>
    <t>Iluminación de emergencia</t>
  </si>
  <si>
    <t>Juguetes y electrónica portátil, Relojería e instrumentación</t>
  </si>
  <si>
    <t>Energía solar, Energía Eólica, Batería cilíndrica</t>
  </si>
  <si>
    <t>UPS/Nobreak, Centros de datos/TI, Equipo médico, Herramientas eléctricas, Linternas, Batería cilíndrica</t>
  </si>
  <si>
    <t>UPS/Nobreak, Energía solar, Energía Eólica, Videovigilancia (CCTV), Vehículos eléctricos, Modelismo/RC</t>
  </si>
  <si>
    <t>UPS/NoBreak, Telecomunicaciones, Uso militar, Iluminación vial, Robótica industrial, Electrónica Industrial, Plataformas aéreas, Maquinaria de limpieza, Vehículos eléctricos, Dispositivos médicos, Reemplazo de Ácido-Plomo</t>
  </si>
  <si>
    <t>HD12.8-12(12.8V12AH)</t>
  </si>
  <si>
    <t>HD12.8-18(12.8V18AH)</t>
  </si>
  <si>
    <t>HD12.8-4.5(12.8V4.5AH)</t>
  </si>
  <si>
    <t>HD12.8-7.5(12.8V7.5AH)</t>
  </si>
  <si>
    <t>HD6.4-4.5(6.4V4.5AH)</t>
  </si>
  <si>
    <t>Equipo médico, Energía solar, Energía eólica, Movilidad eléctrica, Centros de datos, Medios de transporte,  Reemplazo de Ácido-Plomo</t>
  </si>
  <si>
    <t>PSL-FP-IFP30135185EC</t>
  </si>
  <si>
    <t>PSL-SC-121000-G27</t>
  </si>
  <si>
    <t>PSL-SC-12120</t>
  </si>
  <si>
    <t>PSL-SC-12200</t>
  </si>
  <si>
    <t>PSL-SC-12350</t>
  </si>
  <si>
    <t>PSL-SC-12750</t>
  </si>
  <si>
    <t>PSL-SC-1290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</si>
</sst>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.m"/>
    <numFmt numFmtId="179" formatCode="yyyy\.m"/>
    <numFmt numFmtId="180" formatCode="dd\.mm"/>
  </numFmts>
  <fonts count="29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rgb="FF000000"/>
      <name val="Aptos Narrow"/>
      <charset val="134"/>
    </font>
    <font>
      <sz val="11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5">
    <xf numFmtId="0" fontId="0" fillId="0" borderId="0" xfId="0" applyFont="1" applyAlignment="1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178" fontId="3" fillId="0" borderId="0" xfId="0" applyNumberFormat="1" applyFont="1" applyAlignment="1">
      <alignment horizontal="right"/>
    </xf>
    <xf numFmtId="0" fontId="4" fillId="0" borderId="0" xfId="0" applyFont="1" applyAlignment="1"/>
    <xf numFmtId="179" fontId="3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/>
    </xf>
    <xf numFmtId="0" fontId="5" fillId="0" borderId="0" xfId="0" applyFont="1" applyAlignment="1"/>
    <xf numFmtId="178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3" fontId="6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9" fillId="0" borderId="0" xfId="0" applyFont="1" applyAlignment="1"/>
    <xf numFmtId="49" fontId="2" fillId="0" borderId="0" xfId="0" applyNumberFormat="1" applyFont="1" applyAlignment="1"/>
    <xf numFmtId="178" fontId="4" fillId="0" borderId="0" xfId="0" applyNumberFormat="1" applyFont="1" applyAlignment="1"/>
    <xf numFmtId="49" fontId="4" fillId="0" borderId="0" xfId="0" applyNumberFormat="1" applyFont="1" applyAlignment="1"/>
    <xf numFmtId="178" fontId="4" fillId="0" borderId="0" xfId="0" applyNumberFormat="1" applyFont="1"/>
    <xf numFmtId="49" fontId="4" fillId="0" borderId="0" xfId="0" applyNumberFormat="1" applyFont="1"/>
    <xf numFmtId="0" fontId="4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"/>
    </sheetView>
  </sheetViews>
  <sheetFormatPr defaultColWidth="12.6285714285714" defaultRowHeight="15.75" customHeight="1" outlineLevelCol="5"/>
  <cols>
    <col min="2" max="2" width="22.247619047619" customWidth="1"/>
    <col min="6" max="6" width="23" customWidth="1"/>
  </cols>
  <sheetData>
    <row r="1" customHeight="1" spans="1:6">
      <c r="A1" s="28" t="s">
        <v>0</v>
      </c>
      <c r="B1" s="4" t="s">
        <v>1</v>
      </c>
      <c r="C1" s="4" t="s">
        <v>2</v>
      </c>
      <c r="D1" s="4" t="s">
        <v>3</v>
      </c>
      <c r="E1" s="29" t="s">
        <v>4</v>
      </c>
      <c r="F1" s="4" t="s">
        <v>5</v>
      </c>
    </row>
    <row r="2" customHeight="1" spans="1:6">
      <c r="A2" s="9" t="s">
        <v>6</v>
      </c>
      <c r="B2" s="9" t="s">
        <v>7</v>
      </c>
      <c r="C2" s="9" t="s">
        <v>8</v>
      </c>
      <c r="D2" s="30">
        <v>45841</v>
      </c>
      <c r="E2" s="31">
        <f>500/1000</f>
        <v>0.5</v>
      </c>
      <c r="F2" s="32">
        <f t="shared" ref="F2:F17" si="0">E2*D2</f>
        <v>22920.5</v>
      </c>
    </row>
    <row r="3" customHeight="1" spans="2:6">
      <c r="B3" s="9" t="s">
        <v>9</v>
      </c>
      <c r="C3" s="9" t="s">
        <v>10</v>
      </c>
      <c r="D3" s="30">
        <v>45841</v>
      </c>
      <c r="E3" s="33">
        <f>300/1000</f>
        <v>0.3</v>
      </c>
      <c r="F3" s="32">
        <f t="shared" si="0"/>
        <v>13752.3</v>
      </c>
    </row>
    <row r="4" customHeight="1" spans="2:6">
      <c r="B4" s="9" t="s">
        <v>11</v>
      </c>
      <c r="C4" s="9" t="s">
        <v>12</v>
      </c>
      <c r="D4" s="30">
        <v>45841</v>
      </c>
      <c r="E4" s="31">
        <f>500/1000</f>
        <v>0.5</v>
      </c>
      <c r="F4" s="32">
        <f t="shared" si="0"/>
        <v>22920.5</v>
      </c>
    </row>
    <row r="5" customHeight="1" spans="2:6">
      <c r="B5" s="9" t="s">
        <v>9</v>
      </c>
      <c r="C5" s="9" t="s">
        <v>13</v>
      </c>
      <c r="D5" s="30">
        <v>45754</v>
      </c>
      <c r="E5" s="33">
        <f>5000/1000</f>
        <v>5</v>
      </c>
      <c r="F5" s="32">
        <f t="shared" si="0"/>
        <v>228770</v>
      </c>
    </row>
    <row r="6" customHeight="1" spans="2:6">
      <c r="B6" s="9" t="s">
        <v>14</v>
      </c>
      <c r="C6" s="9" t="s">
        <v>15</v>
      </c>
      <c r="D6" s="30">
        <v>45668</v>
      </c>
      <c r="E6" s="33">
        <f>850/1000</f>
        <v>0.85</v>
      </c>
      <c r="F6" s="32">
        <f t="shared" si="0"/>
        <v>38817.8</v>
      </c>
    </row>
    <row r="7" customHeight="1" spans="2:6">
      <c r="B7" s="9" t="s">
        <v>14</v>
      </c>
      <c r="C7" s="9" t="s">
        <v>16</v>
      </c>
      <c r="D7" s="30">
        <v>45668</v>
      </c>
      <c r="E7" s="33">
        <f>1500/1000</f>
        <v>1.5</v>
      </c>
      <c r="F7" s="32">
        <f t="shared" si="0"/>
        <v>68502</v>
      </c>
    </row>
    <row r="8" customHeight="1" spans="3:6">
      <c r="C8" s="9" t="s">
        <v>17</v>
      </c>
      <c r="D8" s="30">
        <v>45758</v>
      </c>
      <c r="E8" s="33">
        <f>2200/1000</f>
        <v>2.2</v>
      </c>
      <c r="F8" s="32">
        <f t="shared" si="0"/>
        <v>100667.6</v>
      </c>
    </row>
    <row r="9" customHeight="1" spans="2:6">
      <c r="B9" s="9" t="s">
        <v>11</v>
      </c>
      <c r="C9" s="9" t="s">
        <v>18</v>
      </c>
      <c r="D9" s="30">
        <v>45668</v>
      </c>
      <c r="E9" s="33">
        <f>1300/1000</f>
        <v>1.3</v>
      </c>
      <c r="F9" s="32">
        <f t="shared" si="0"/>
        <v>59368.4</v>
      </c>
    </row>
    <row r="10" customHeight="1" spans="3:6">
      <c r="C10" s="9" t="s">
        <v>19</v>
      </c>
      <c r="D10" s="30">
        <v>45668</v>
      </c>
      <c r="E10" s="33">
        <f>1400/1000</f>
        <v>1.4</v>
      </c>
      <c r="F10" s="32">
        <f t="shared" si="0"/>
        <v>63935.2</v>
      </c>
    </row>
    <row r="11" customHeight="1" spans="3:6">
      <c r="C11" s="9" t="s">
        <v>20</v>
      </c>
      <c r="D11" s="30">
        <v>45668</v>
      </c>
      <c r="E11" s="33">
        <f>2100/1000</f>
        <v>2.1</v>
      </c>
      <c r="F11" s="32">
        <f t="shared" si="0"/>
        <v>95902.8</v>
      </c>
    </row>
    <row r="12" customHeight="1" spans="3:6">
      <c r="C12" s="9" t="s">
        <v>21</v>
      </c>
      <c r="D12" s="30">
        <v>45883</v>
      </c>
      <c r="E12" s="31" t="s">
        <v>22</v>
      </c>
      <c r="F12" s="32">
        <f t="shared" si="0"/>
        <v>137649</v>
      </c>
    </row>
    <row r="13" customHeight="1" spans="3:6">
      <c r="C13" s="9" t="s">
        <v>23</v>
      </c>
      <c r="D13" s="30">
        <v>45883</v>
      </c>
      <c r="E13" s="31" t="s">
        <v>24</v>
      </c>
      <c r="F13" s="32">
        <f t="shared" si="0"/>
        <v>59647.9</v>
      </c>
    </row>
    <row r="14" customHeight="1" spans="5:6">
      <c r="E14" s="33"/>
      <c r="F14" s="34">
        <f t="shared" si="0"/>
        <v>0</v>
      </c>
    </row>
    <row r="15" customHeight="1" spans="5:6">
      <c r="E15" s="33"/>
      <c r="F15" s="34">
        <f t="shared" si="0"/>
        <v>0</v>
      </c>
    </row>
    <row r="16" customHeight="1" spans="5:6">
      <c r="E16" s="33"/>
      <c r="F16" s="34">
        <f t="shared" si="0"/>
        <v>0</v>
      </c>
    </row>
    <row r="17" customHeight="1" spans="5:6">
      <c r="E17" s="33"/>
      <c r="F17" s="34">
        <f t="shared" si="0"/>
        <v>0</v>
      </c>
    </row>
    <row r="18" customHeight="1" spans="5:5">
      <c r="E18" s="33"/>
    </row>
    <row r="19" customHeight="1" spans="5:5">
      <c r="E19" s="33"/>
    </row>
    <row r="20" customHeight="1" spans="5:5">
      <c r="E20" s="33"/>
    </row>
    <row r="21" customHeight="1" spans="5:5">
      <c r="E21" s="33"/>
    </row>
    <row r="22" customHeight="1" spans="5:5">
      <c r="E22" s="33"/>
    </row>
    <row r="23" customHeight="1" spans="5:5">
      <c r="E23" s="33"/>
    </row>
    <row r="24" customHeight="1" spans="5:5">
      <c r="E24" s="33"/>
    </row>
    <row r="25" customHeight="1" spans="5:5">
      <c r="E25" s="33"/>
    </row>
    <row r="26" customHeight="1" spans="5:5">
      <c r="E26" s="33"/>
    </row>
    <row r="27" customHeight="1" spans="5:5">
      <c r="E27" s="33"/>
    </row>
    <row r="28" customHeight="1" spans="5:5">
      <c r="E28" s="33"/>
    </row>
    <row r="29" customHeight="1" spans="5:5">
      <c r="E29" s="33"/>
    </row>
    <row r="30" customHeight="1" spans="5:5">
      <c r="E30" s="33"/>
    </row>
    <row r="31" customHeight="1" spans="5:5">
      <c r="E31" s="33"/>
    </row>
    <row r="32" customHeight="1" spans="5:5">
      <c r="E32" s="33"/>
    </row>
    <row r="33" customHeight="1" spans="5:5">
      <c r="E33" s="33"/>
    </row>
    <row r="34" customHeight="1" spans="5:5">
      <c r="E34" s="33"/>
    </row>
    <row r="35" customHeight="1" spans="5:5">
      <c r="E35" s="33"/>
    </row>
    <row r="36" customHeight="1" spans="5:5">
      <c r="E36" s="33"/>
    </row>
    <row r="37" customHeight="1" spans="5:5">
      <c r="E37" s="33"/>
    </row>
    <row r="38" customHeight="1" spans="5:5">
      <c r="E38" s="33"/>
    </row>
    <row r="39" customHeight="1" spans="5:5">
      <c r="E39" s="33"/>
    </row>
    <row r="40" customHeight="1" spans="5:5">
      <c r="E40" s="33"/>
    </row>
    <row r="41" customHeight="1" spans="5:5">
      <c r="E41" s="33"/>
    </row>
    <row r="42" customHeight="1" spans="5:5">
      <c r="E42" s="33"/>
    </row>
    <row r="43" customHeight="1" spans="5:5">
      <c r="E43" s="33"/>
    </row>
    <row r="44" customHeight="1" spans="5:5">
      <c r="E44" s="33"/>
    </row>
    <row r="45" customHeight="1" spans="5:5">
      <c r="E45" s="33"/>
    </row>
    <row r="46" customHeight="1" spans="5:5">
      <c r="E46" s="33"/>
    </row>
    <row r="47" customHeight="1" spans="5:5">
      <c r="E47" s="33"/>
    </row>
    <row r="48" customHeight="1" spans="5:5">
      <c r="E48" s="33"/>
    </row>
    <row r="49" customHeight="1" spans="5:5">
      <c r="E49" s="33"/>
    </row>
    <row r="50" customHeight="1" spans="5:5">
      <c r="E50" s="33"/>
    </row>
    <row r="51" customHeight="1" spans="5:5">
      <c r="E51" s="33"/>
    </row>
    <row r="52" customHeight="1" spans="5:5">
      <c r="E52" s="33"/>
    </row>
    <row r="53" customHeight="1" spans="5:5">
      <c r="E53" s="33"/>
    </row>
    <row r="54" customHeight="1" spans="5:5">
      <c r="E54" s="33"/>
    </row>
    <row r="55" customHeight="1" spans="5:5">
      <c r="E55" s="33"/>
    </row>
    <row r="56" customHeight="1" spans="5:5">
      <c r="E56" s="33"/>
    </row>
    <row r="57" customHeight="1" spans="5:5">
      <c r="E57" s="33"/>
    </row>
    <row r="58" customHeight="1" spans="5:5">
      <c r="E58" s="33"/>
    </row>
    <row r="59" customHeight="1" spans="5:5">
      <c r="E59" s="33"/>
    </row>
    <row r="60" customHeight="1" spans="5:5">
      <c r="E60" s="33"/>
    </row>
    <row r="61" customHeight="1" spans="5:5">
      <c r="E61" s="33"/>
    </row>
    <row r="62" customHeight="1" spans="5:5">
      <c r="E62" s="33"/>
    </row>
    <row r="63" customHeight="1" spans="5:5">
      <c r="E63" s="33"/>
    </row>
    <row r="64" customHeight="1" spans="5:5">
      <c r="E64" s="33"/>
    </row>
    <row r="65" customHeight="1" spans="5:5">
      <c r="E65" s="33"/>
    </row>
    <row r="66" customHeight="1" spans="5:5">
      <c r="E66" s="33"/>
    </row>
    <row r="67" customHeight="1" spans="5:5">
      <c r="E67" s="33"/>
    </row>
    <row r="68" customHeight="1" spans="5:5">
      <c r="E68" s="33"/>
    </row>
    <row r="69" customHeight="1" spans="5:5">
      <c r="E69" s="33"/>
    </row>
    <row r="70" customHeight="1" spans="5:5">
      <c r="E70" s="33"/>
    </row>
    <row r="71" customHeight="1" spans="5:5">
      <c r="E71" s="33"/>
    </row>
    <row r="72" customHeight="1" spans="5:5">
      <c r="E72" s="33"/>
    </row>
    <row r="73" customHeight="1" spans="5:5">
      <c r="E73" s="33"/>
    </row>
    <row r="74" customHeight="1" spans="5:5">
      <c r="E74" s="33"/>
    </row>
    <row r="75" customHeight="1" spans="5:5">
      <c r="E75" s="33"/>
    </row>
    <row r="76" customHeight="1" spans="5:5">
      <c r="E76" s="33"/>
    </row>
    <row r="77" customHeight="1" spans="5:5">
      <c r="E77" s="33"/>
    </row>
    <row r="78" customHeight="1" spans="5:5">
      <c r="E78" s="33"/>
    </row>
    <row r="79" customHeight="1" spans="5:5">
      <c r="E79" s="33"/>
    </row>
    <row r="80" customHeight="1" spans="5:5">
      <c r="E80" s="33"/>
    </row>
    <row r="81" customHeight="1" spans="5:5">
      <c r="E81" s="33"/>
    </row>
    <row r="82" customHeight="1" spans="5:5">
      <c r="E82" s="33"/>
    </row>
    <row r="83" customHeight="1" spans="5:5">
      <c r="E83" s="33"/>
    </row>
    <row r="84" customHeight="1" spans="5:5">
      <c r="E84" s="33"/>
    </row>
    <row r="85" customHeight="1" spans="5:5">
      <c r="E85" s="33"/>
    </row>
    <row r="86" customHeight="1" spans="5:5">
      <c r="E86" s="33"/>
    </row>
    <row r="87" customHeight="1" spans="5:5">
      <c r="E87" s="33"/>
    </row>
    <row r="88" customHeight="1" spans="5:5">
      <c r="E88" s="33"/>
    </row>
    <row r="89" customHeight="1" spans="5:5">
      <c r="E89" s="33"/>
    </row>
    <row r="90" customHeight="1" spans="5:5">
      <c r="E90" s="33"/>
    </row>
    <row r="91" customHeight="1" spans="5:5">
      <c r="E91" s="33"/>
    </row>
    <row r="92" customHeight="1" spans="5:5">
      <c r="E92" s="33"/>
    </row>
    <row r="93" customHeight="1" spans="5:5">
      <c r="E93" s="33"/>
    </row>
    <row r="94" customHeight="1" spans="5:5">
      <c r="E94" s="33"/>
    </row>
    <row r="95" customHeight="1" spans="5:5">
      <c r="E95" s="33"/>
    </row>
    <row r="96" customHeight="1" spans="5:5">
      <c r="E96" s="33"/>
    </row>
    <row r="97" customHeight="1" spans="5:5">
      <c r="E97" s="33"/>
    </row>
    <row r="98" customHeight="1" spans="5:5">
      <c r="E98" s="33"/>
    </row>
    <row r="99" customHeight="1" spans="5:5">
      <c r="E99" s="33"/>
    </row>
    <row r="100" customHeight="1" spans="5:5">
      <c r="E100" s="33"/>
    </row>
    <row r="101" customHeight="1" spans="5:5">
      <c r="E101" s="33"/>
    </row>
    <row r="102" customHeight="1" spans="5:5">
      <c r="E102" s="33"/>
    </row>
    <row r="103" customHeight="1" spans="5:5">
      <c r="E103" s="33"/>
    </row>
    <row r="104" customHeight="1" spans="5:5">
      <c r="E104" s="33"/>
    </row>
    <row r="105" customHeight="1" spans="5:5">
      <c r="E105" s="33"/>
    </row>
    <row r="106" customHeight="1" spans="5:5">
      <c r="E106" s="33"/>
    </row>
    <row r="107" customHeight="1" spans="5:5">
      <c r="E107" s="33"/>
    </row>
    <row r="108" customHeight="1" spans="5:5">
      <c r="E108" s="33"/>
    </row>
    <row r="109" customHeight="1" spans="5:5">
      <c r="E109" s="33"/>
    </row>
    <row r="110" customHeight="1" spans="5:5">
      <c r="E110" s="33"/>
    </row>
    <row r="111" customHeight="1" spans="5:5">
      <c r="E111" s="33"/>
    </row>
    <row r="112" customHeight="1" spans="5:5">
      <c r="E112" s="33"/>
    </row>
    <row r="113" customHeight="1" spans="5:5">
      <c r="E113" s="33"/>
    </row>
    <row r="114" customHeight="1" spans="5:5">
      <c r="E114" s="33"/>
    </row>
    <row r="115" customHeight="1" spans="5:5">
      <c r="E115" s="33"/>
    </row>
    <row r="116" customHeight="1" spans="5:5">
      <c r="E116" s="33"/>
    </row>
    <row r="117" customHeight="1" spans="5:5">
      <c r="E117" s="33"/>
    </row>
    <row r="118" customHeight="1" spans="5:5">
      <c r="E118" s="33"/>
    </row>
    <row r="119" customHeight="1" spans="5:5">
      <c r="E119" s="33"/>
    </row>
    <row r="120" customHeight="1" spans="5:5">
      <c r="E120" s="33"/>
    </row>
    <row r="121" customHeight="1" spans="5:5">
      <c r="E121" s="33"/>
    </row>
    <row r="122" customHeight="1" spans="5:5">
      <c r="E122" s="33"/>
    </row>
    <row r="123" customHeight="1" spans="5:5">
      <c r="E123" s="33"/>
    </row>
    <row r="124" customHeight="1" spans="5:5">
      <c r="E124" s="33"/>
    </row>
    <row r="125" customHeight="1" spans="5:5">
      <c r="E125" s="33"/>
    </row>
    <row r="126" customHeight="1" spans="5:5">
      <c r="E126" s="33"/>
    </row>
    <row r="127" customHeight="1" spans="5:5">
      <c r="E127" s="33"/>
    </row>
    <row r="128" customHeight="1" spans="5:5">
      <c r="E128" s="33"/>
    </row>
    <row r="129" customHeight="1" spans="5:5">
      <c r="E129" s="33"/>
    </row>
    <row r="130" customHeight="1" spans="5:5">
      <c r="E130" s="33"/>
    </row>
    <row r="131" customHeight="1" spans="5:5">
      <c r="E131" s="33"/>
    </row>
    <row r="132" customHeight="1" spans="5:5">
      <c r="E132" s="33"/>
    </row>
    <row r="133" customHeight="1" spans="5:5">
      <c r="E133" s="33"/>
    </row>
    <row r="134" customHeight="1" spans="5:5">
      <c r="E134" s="33"/>
    </row>
    <row r="135" customHeight="1" spans="5:5">
      <c r="E135" s="33"/>
    </row>
    <row r="136" customHeight="1" spans="5:5">
      <c r="E136" s="33"/>
    </row>
    <row r="137" customHeight="1" spans="5:5">
      <c r="E137" s="33"/>
    </row>
    <row r="138" customHeight="1" spans="5:5">
      <c r="E138" s="33"/>
    </row>
    <row r="139" customHeight="1" spans="5:5">
      <c r="E139" s="33"/>
    </row>
    <row r="140" customHeight="1" spans="5:5">
      <c r="E140" s="33"/>
    </row>
    <row r="141" customHeight="1" spans="5:5">
      <c r="E141" s="33"/>
    </row>
    <row r="142" customHeight="1" spans="5:5">
      <c r="E142" s="33"/>
    </row>
    <row r="143" customHeight="1" spans="5:5">
      <c r="E143" s="33"/>
    </row>
    <row r="144" customHeight="1" spans="5:5">
      <c r="E144" s="33"/>
    </row>
    <row r="145" customHeight="1" spans="5:5">
      <c r="E145" s="33"/>
    </row>
    <row r="146" customHeight="1" spans="5:5">
      <c r="E146" s="33"/>
    </row>
    <row r="147" customHeight="1" spans="5:5">
      <c r="E147" s="33"/>
    </row>
    <row r="148" customHeight="1" spans="5:5">
      <c r="E148" s="33"/>
    </row>
    <row r="149" customHeight="1" spans="5:5">
      <c r="E149" s="33"/>
    </row>
    <row r="150" customHeight="1" spans="5:5">
      <c r="E150" s="33"/>
    </row>
    <row r="151" customHeight="1" spans="5:5">
      <c r="E151" s="33"/>
    </row>
    <row r="152" customHeight="1" spans="5:5">
      <c r="E152" s="33"/>
    </row>
    <row r="153" customHeight="1" spans="5:5">
      <c r="E153" s="33"/>
    </row>
    <row r="154" customHeight="1" spans="5:5">
      <c r="E154" s="33"/>
    </row>
    <row r="155" customHeight="1" spans="5:5">
      <c r="E155" s="33"/>
    </row>
    <row r="156" customHeight="1" spans="5:5">
      <c r="E156" s="33"/>
    </row>
    <row r="157" customHeight="1" spans="5:5">
      <c r="E157" s="33"/>
    </row>
    <row r="158" customHeight="1" spans="5:5">
      <c r="E158" s="33"/>
    </row>
    <row r="159" customHeight="1" spans="5:5">
      <c r="E159" s="33"/>
    </row>
    <row r="160" customHeight="1" spans="5:5">
      <c r="E160" s="33"/>
    </row>
    <row r="161" customHeight="1" spans="5:5">
      <c r="E161" s="33"/>
    </row>
    <row r="162" customHeight="1" spans="5:5">
      <c r="E162" s="33"/>
    </row>
    <row r="163" customHeight="1" spans="5:5">
      <c r="E163" s="33"/>
    </row>
    <row r="164" customHeight="1" spans="5:5">
      <c r="E164" s="33"/>
    </row>
    <row r="165" customHeight="1" spans="5:5">
      <c r="E165" s="33"/>
    </row>
    <row r="166" customHeight="1" spans="5:5">
      <c r="E166" s="33"/>
    </row>
    <row r="167" customHeight="1" spans="5:5">
      <c r="E167" s="33"/>
    </row>
    <row r="168" customHeight="1" spans="5:5">
      <c r="E168" s="33"/>
    </row>
    <row r="169" customHeight="1" spans="5:5">
      <c r="E169" s="33"/>
    </row>
    <row r="170" customHeight="1" spans="5:5">
      <c r="E170" s="33"/>
    </row>
    <row r="171" customHeight="1" spans="5:5">
      <c r="E171" s="33"/>
    </row>
    <row r="172" customHeight="1" spans="5:5">
      <c r="E172" s="33"/>
    </row>
    <row r="173" customHeight="1" spans="5:5">
      <c r="E173" s="33"/>
    </row>
    <row r="174" customHeight="1" spans="5:5">
      <c r="E174" s="33"/>
    </row>
    <row r="175" customHeight="1" spans="5:5">
      <c r="E175" s="33"/>
    </row>
    <row r="176" customHeight="1" spans="5:5">
      <c r="E176" s="33"/>
    </row>
    <row r="177" customHeight="1" spans="5:5">
      <c r="E177" s="33"/>
    </row>
    <row r="178" customHeight="1" spans="5:5">
      <c r="E178" s="33"/>
    </row>
    <row r="179" customHeight="1" spans="5:5">
      <c r="E179" s="33"/>
    </row>
    <row r="180" customHeight="1" spans="5:5">
      <c r="E180" s="33"/>
    </row>
    <row r="181" customHeight="1" spans="5:5">
      <c r="E181" s="33"/>
    </row>
    <row r="182" customHeight="1" spans="5:5">
      <c r="E182" s="33"/>
    </row>
    <row r="183" customHeight="1" spans="5:5">
      <c r="E183" s="33"/>
    </row>
    <row r="184" customHeight="1" spans="5:5">
      <c r="E184" s="33"/>
    </row>
    <row r="185" customHeight="1" spans="5:5">
      <c r="E185" s="33"/>
    </row>
    <row r="186" customHeight="1" spans="5:5">
      <c r="E186" s="33"/>
    </row>
    <row r="187" customHeight="1" spans="5:5">
      <c r="E187" s="33"/>
    </row>
    <row r="188" customHeight="1" spans="5:5">
      <c r="E188" s="33"/>
    </row>
    <row r="189" customHeight="1" spans="5:5">
      <c r="E189" s="33"/>
    </row>
    <row r="190" customHeight="1" spans="5:5">
      <c r="E190" s="33"/>
    </row>
    <row r="191" customHeight="1" spans="5:5">
      <c r="E191" s="33"/>
    </row>
    <row r="192" customHeight="1" spans="5:5">
      <c r="E192" s="33"/>
    </row>
    <row r="193" customHeight="1" spans="5:5">
      <c r="E193" s="33"/>
    </row>
    <row r="194" customHeight="1" spans="5:5">
      <c r="E194" s="33"/>
    </row>
    <row r="195" customHeight="1" spans="5:5">
      <c r="E195" s="33"/>
    </row>
    <row r="196" customHeight="1" spans="5:5">
      <c r="E196" s="33"/>
    </row>
    <row r="197" customHeight="1" spans="5:5">
      <c r="E197" s="33"/>
    </row>
    <row r="198" customHeight="1" spans="5:5">
      <c r="E198" s="33"/>
    </row>
    <row r="199" customHeight="1" spans="5:5">
      <c r="E199" s="33"/>
    </row>
    <row r="200" customHeight="1" spans="5:5">
      <c r="E200" s="33"/>
    </row>
    <row r="201" customHeight="1" spans="5:5">
      <c r="E201" s="33"/>
    </row>
    <row r="202" customHeight="1" spans="5:5">
      <c r="E202" s="33"/>
    </row>
    <row r="203" customHeight="1" spans="5:5">
      <c r="E203" s="33"/>
    </row>
    <row r="204" customHeight="1" spans="5:5">
      <c r="E204" s="33"/>
    </row>
    <row r="205" customHeight="1" spans="5:5">
      <c r="E205" s="33"/>
    </row>
    <row r="206" customHeight="1" spans="5:5">
      <c r="E206" s="33"/>
    </row>
    <row r="207" customHeight="1" spans="5:5">
      <c r="E207" s="33"/>
    </row>
    <row r="208" customHeight="1" spans="5:5">
      <c r="E208" s="33"/>
    </row>
    <row r="209" customHeight="1" spans="5:5">
      <c r="E209" s="33"/>
    </row>
    <row r="210" customHeight="1" spans="5:5">
      <c r="E210" s="33"/>
    </row>
    <row r="211" customHeight="1" spans="5:5">
      <c r="E211" s="33"/>
    </row>
    <row r="212" customHeight="1" spans="5:5">
      <c r="E212" s="33"/>
    </row>
    <row r="213" customHeight="1" spans="5:5">
      <c r="E213" s="33"/>
    </row>
    <row r="214" customHeight="1" spans="5:5">
      <c r="E214" s="33"/>
    </row>
    <row r="215" customHeight="1" spans="5:5">
      <c r="E215" s="33"/>
    </row>
    <row r="216" customHeight="1" spans="5:5">
      <c r="E216" s="33"/>
    </row>
    <row r="217" customHeight="1" spans="5:5">
      <c r="E217" s="33"/>
    </row>
    <row r="218" customHeight="1" spans="5:5">
      <c r="E218" s="33"/>
    </row>
    <row r="219" customHeight="1" spans="5:5">
      <c r="E219" s="33"/>
    </row>
    <row r="220" customHeight="1" spans="5:5">
      <c r="E220" s="33"/>
    </row>
    <row r="221" customHeight="1" spans="5:5">
      <c r="E221" s="33"/>
    </row>
    <row r="222" customHeight="1" spans="5:5">
      <c r="E222" s="33"/>
    </row>
    <row r="223" customHeight="1" spans="5:5">
      <c r="E223" s="33"/>
    </row>
    <row r="224" customHeight="1" spans="5:5">
      <c r="E224" s="33"/>
    </row>
    <row r="225" customHeight="1" spans="5:5">
      <c r="E225" s="33"/>
    </row>
    <row r="226" customHeight="1" spans="5:5">
      <c r="E226" s="33"/>
    </row>
    <row r="227" customHeight="1" spans="5:5">
      <c r="E227" s="33"/>
    </row>
    <row r="228" customHeight="1" spans="5:5">
      <c r="E228" s="33"/>
    </row>
    <row r="229" customHeight="1" spans="5:5">
      <c r="E229" s="33"/>
    </row>
    <row r="230" customHeight="1" spans="5:5">
      <c r="E230" s="33"/>
    </row>
    <row r="231" customHeight="1" spans="5:5">
      <c r="E231" s="33"/>
    </row>
    <row r="232" customHeight="1" spans="5:5">
      <c r="E232" s="33"/>
    </row>
    <row r="233" customHeight="1" spans="5:5">
      <c r="E233" s="33"/>
    </row>
    <row r="234" customHeight="1" spans="5:5">
      <c r="E234" s="33"/>
    </row>
    <row r="235" customHeight="1" spans="5:5">
      <c r="E235" s="33"/>
    </row>
    <row r="236" customHeight="1" spans="5:5">
      <c r="E236" s="33"/>
    </row>
    <row r="237" customHeight="1" spans="5:5">
      <c r="E237" s="33"/>
    </row>
    <row r="238" customHeight="1" spans="5:5">
      <c r="E238" s="33"/>
    </row>
    <row r="239" customHeight="1" spans="5:5">
      <c r="E239" s="33"/>
    </row>
    <row r="240" customHeight="1" spans="5:5">
      <c r="E240" s="33"/>
    </row>
    <row r="241" customHeight="1" spans="5:5">
      <c r="E241" s="33"/>
    </row>
    <row r="242" customHeight="1" spans="5:5">
      <c r="E242" s="33"/>
    </row>
    <row r="243" customHeight="1" spans="5:5">
      <c r="E243" s="33"/>
    </row>
    <row r="244" customHeight="1" spans="5:5">
      <c r="E244" s="33"/>
    </row>
    <row r="245" customHeight="1" spans="5:5">
      <c r="E245" s="33"/>
    </row>
    <row r="246" customHeight="1" spans="5:5">
      <c r="E246" s="33"/>
    </row>
    <row r="247" customHeight="1" spans="5:5">
      <c r="E247" s="33"/>
    </row>
    <row r="248" customHeight="1" spans="5:5">
      <c r="E248" s="33"/>
    </row>
    <row r="249" customHeight="1" spans="5:5">
      <c r="E249" s="33"/>
    </row>
    <row r="250" customHeight="1" spans="5:5">
      <c r="E250" s="33"/>
    </row>
    <row r="251" customHeight="1" spans="5:5">
      <c r="E251" s="33"/>
    </row>
    <row r="252" customHeight="1" spans="5:5">
      <c r="E252" s="33"/>
    </row>
    <row r="253" customHeight="1" spans="5:5">
      <c r="E253" s="33"/>
    </row>
    <row r="254" customHeight="1" spans="5:5">
      <c r="E254" s="33"/>
    </row>
    <row r="255" customHeight="1" spans="5:5">
      <c r="E255" s="33"/>
    </row>
    <row r="256" customHeight="1" spans="5:5">
      <c r="E256" s="33"/>
    </row>
    <row r="257" customHeight="1" spans="5:5">
      <c r="E257" s="33"/>
    </row>
    <row r="258" customHeight="1" spans="5:5">
      <c r="E258" s="33"/>
    </row>
    <row r="259" customHeight="1" spans="5:5">
      <c r="E259" s="33"/>
    </row>
    <row r="260" customHeight="1" spans="5:5">
      <c r="E260" s="33"/>
    </row>
    <row r="261" customHeight="1" spans="5:5">
      <c r="E261" s="33"/>
    </row>
    <row r="262" customHeight="1" spans="5:5">
      <c r="E262" s="33"/>
    </row>
    <row r="263" customHeight="1" spans="5:5">
      <c r="E263" s="33"/>
    </row>
    <row r="264" customHeight="1" spans="5:5">
      <c r="E264" s="33"/>
    </row>
    <row r="265" customHeight="1" spans="5:5">
      <c r="E265" s="33"/>
    </row>
    <row r="266" customHeight="1" spans="5:5">
      <c r="E266" s="33"/>
    </row>
    <row r="267" customHeight="1" spans="5:5">
      <c r="E267" s="33"/>
    </row>
    <row r="268" customHeight="1" spans="5:5">
      <c r="E268" s="33"/>
    </row>
    <row r="269" customHeight="1" spans="5:5">
      <c r="E269" s="33"/>
    </row>
    <row r="270" customHeight="1" spans="5:5">
      <c r="E270" s="33"/>
    </row>
    <row r="271" customHeight="1" spans="5:5">
      <c r="E271" s="33"/>
    </row>
    <row r="272" customHeight="1" spans="5:5">
      <c r="E272" s="33"/>
    </row>
    <row r="273" customHeight="1" spans="5:5">
      <c r="E273" s="33"/>
    </row>
    <row r="274" customHeight="1" spans="5:5">
      <c r="E274" s="33"/>
    </row>
    <row r="275" customHeight="1" spans="5:5">
      <c r="E275" s="33"/>
    </row>
    <row r="276" customHeight="1" spans="5:5">
      <c r="E276" s="33"/>
    </row>
    <row r="277" customHeight="1" spans="5:5">
      <c r="E277" s="33"/>
    </row>
    <row r="278" customHeight="1" spans="5:5">
      <c r="E278" s="33"/>
    </row>
    <row r="279" customHeight="1" spans="5:5">
      <c r="E279" s="33"/>
    </row>
    <row r="280" customHeight="1" spans="5:5">
      <c r="E280" s="33"/>
    </row>
    <row r="281" customHeight="1" spans="5:5">
      <c r="E281" s="33"/>
    </row>
    <row r="282" customHeight="1" spans="5:5">
      <c r="E282" s="33"/>
    </row>
    <row r="283" customHeight="1" spans="5:5">
      <c r="E283" s="33"/>
    </row>
    <row r="284" customHeight="1" spans="5:5">
      <c r="E284" s="33"/>
    </row>
    <row r="285" customHeight="1" spans="5:5">
      <c r="E285" s="33"/>
    </row>
    <row r="286" customHeight="1" spans="5:5">
      <c r="E286" s="33"/>
    </row>
    <row r="287" customHeight="1" spans="5:5">
      <c r="E287" s="33"/>
    </row>
    <row r="288" customHeight="1" spans="5:5">
      <c r="E288" s="33"/>
    </row>
    <row r="289" customHeight="1" spans="5:5">
      <c r="E289" s="33"/>
    </row>
    <row r="290" customHeight="1" spans="5:5">
      <c r="E290" s="33"/>
    </row>
    <row r="291" customHeight="1" spans="5:5">
      <c r="E291" s="33"/>
    </row>
    <row r="292" customHeight="1" spans="5:5">
      <c r="E292" s="33"/>
    </row>
    <row r="293" customHeight="1" spans="5:5">
      <c r="E293" s="33"/>
    </row>
    <row r="294" customHeight="1" spans="5:5">
      <c r="E294" s="33"/>
    </row>
    <row r="295" customHeight="1" spans="5:5">
      <c r="E295" s="33"/>
    </row>
    <row r="296" customHeight="1" spans="5:5">
      <c r="E296" s="33"/>
    </row>
    <row r="297" customHeight="1" spans="5:5">
      <c r="E297" s="33"/>
    </row>
    <row r="298" customHeight="1" spans="5:5">
      <c r="E298" s="33"/>
    </row>
    <row r="299" customHeight="1" spans="5:5">
      <c r="E299" s="33"/>
    </row>
    <row r="300" customHeight="1" spans="5:5">
      <c r="E300" s="33"/>
    </row>
    <row r="301" customHeight="1" spans="5:5">
      <c r="E301" s="33"/>
    </row>
    <row r="302" customHeight="1" spans="5:5">
      <c r="E302" s="33"/>
    </row>
    <row r="303" customHeight="1" spans="5:5">
      <c r="E303" s="33"/>
    </row>
    <row r="304" customHeight="1" spans="5:5">
      <c r="E304" s="33"/>
    </row>
    <row r="305" customHeight="1" spans="5:5">
      <c r="E305" s="33"/>
    </row>
    <row r="306" customHeight="1" spans="5:5">
      <c r="E306" s="33"/>
    </row>
    <row r="307" customHeight="1" spans="5:5">
      <c r="E307" s="33"/>
    </row>
    <row r="308" customHeight="1" spans="5:5">
      <c r="E308" s="33"/>
    </row>
    <row r="309" customHeight="1" spans="5:5">
      <c r="E309" s="33"/>
    </row>
    <row r="310" customHeight="1" spans="5:5">
      <c r="E310" s="33"/>
    </row>
    <row r="311" customHeight="1" spans="5:5">
      <c r="E311" s="33"/>
    </row>
    <row r="312" customHeight="1" spans="5:5">
      <c r="E312" s="33"/>
    </row>
    <row r="313" customHeight="1" spans="5:5">
      <c r="E313" s="33"/>
    </row>
    <row r="314" customHeight="1" spans="5:5">
      <c r="E314" s="33"/>
    </row>
    <row r="315" customHeight="1" spans="5:5">
      <c r="E315" s="33"/>
    </row>
    <row r="316" customHeight="1" spans="5:5">
      <c r="E316" s="33"/>
    </row>
    <row r="317" customHeight="1" spans="5:5">
      <c r="E317" s="33"/>
    </row>
    <row r="318" customHeight="1" spans="5:5">
      <c r="E318" s="33"/>
    </row>
    <row r="319" customHeight="1" spans="5:5">
      <c r="E319" s="33"/>
    </row>
    <row r="320" customHeight="1" spans="5:5">
      <c r="E320" s="33"/>
    </row>
    <row r="321" customHeight="1" spans="5:5">
      <c r="E321" s="33"/>
    </row>
    <row r="322" customHeight="1" spans="5:5">
      <c r="E322" s="33"/>
    </row>
    <row r="323" customHeight="1" spans="5:5">
      <c r="E323" s="33"/>
    </row>
    <row r="324" customHeight="1" spans="5:5">
      <c r="E324" s="33"/>
    </row>
    <row r="325" customHeight="1" spans="5:5">
      <c r="E325" s="33"/>
    </row>
    <row r="326" customHeight="1" spans="5:5">
      <c r="E326" s="33"/>
    </row>
    <row r="327" customHeight="1" spans="5:5">
      <c r="E327" s="33"/>
    </row>
    <row r="328" customHeight="1" spans="5:5">
      <c r="E328" s="33"/>
    </row>
    <row r="329" customHeight="1" spans="5:5">
      <c r="E329" s="33"/>
    </row>
    <row r="330" customHeight="1" spans="5:5">
      <c r="E330" s="33"/>
    </row>
    <row r="331" customHeight="1" spans="5:5">
      <c r="E331" s="33"/>
    </row>
    <row r="332" customHeight="1" spans="5:5">
      <c r="E332" s="33"/>
    </row>
    <row r="333" customHeight="1" spans="5:5">
      <c r="E333" s="33"/>
    </row>
    <row r="334" customHeight="1" spans="5:5">
      <c r="E334" s="33"/>
    </row>
    <row r="335" customHeight="1" spans="5:5">
      <c r="E335" s="33"/>
    </row>
    <row r="336" customHeight="1" spans="5:5">
      <c r="E336" s="33"/>
    </row>
    <row r="337" customHeight="1" spans="5:5">
      <c r="E337" s="33"/>
    </row>
    <row r="338" customHeight="1" spans="5:5">
      <c r="E338" s="33"/>
    </row>
    <row r="339" customHeight="1" spans="5:5">
      <c r="E339" s="33"/>
    </row>
    <row r="340" customHeight="1" spans="5:5">
      <c r="E340" s="33"/>
    </row>
    <row r="341" customHeight="1" spans="5:5">
      <c r="E341" s="33"/>
    </row>
    <row r="342" customHeight="1" spans="5:5">
      <c r="E342" s="33"/>
    </row>
    <row r="343" customHeight="1" spans="5:5">
      <c r="E343" s="33"/>
    </row>
    <row r="344" customHeight="1" spans="5:5">
      <c r="E344" s="33"/>
    </row>
    <row r="345" customHeight="1" spans="5:5">
      <c r="E345" s="33"/>
    </row>
    <row r="346" customHeight="1" spans="5:5">
      <c r="E346" s="33"/>
    </row>
    <row r="347" customHeight="1" spans="5:5">
      <c r="E347" s="33"/>
    </row>
    <row r="348" customHeight="1" spans="5:5">
      <c r="E348" s="33"/>
    </row>
    <row r="349" customHeight="1" spans="5:5">
      <c r="E349" s="33"/>
    </row>
    <row r="350" customHeight="1" spans="5:5">
      <c r="E350" s="33"/>
    </row>
    <row r="351" customHeight="1" spans="5:5">
      <c r="E351" s="33"/>
    </row>
    <row r="352" customHeight="1" spans="5:5">
      <c r="E352" s="33"/>
    </row>
    <row r="353" customHeight="1" spans="5:5">
      <c r="E353" s="33"/>
    </row>
    <row r="354" customHeight="1" spans="5:5">
      <c r="E354" s="33"/>
    </row>
    <row r="355" customHeight="1" spans="5:5">
      <c r="E355" s="33"/>
    </row>
    <row r="356" customHeight="1" spans="5:5">
      <c r="E356" s="33"/>
    </row>
    <row r="357" customHeight="1" spans="5:5">
      <c r="E357" s="33"/>
    </row>
    <row r="358" customHeight="1" spans="5:5">
      <c r="E358" s="33"/>
    </row>
    <row r="359" customHeight="1" spans="5:5">
      <c r="E359" s="33"/>
    </row>
    <row r="360" customHeight="1" spans="5:5">
      <c r="E360" s="33"/>
    </row>
    <row r="361" customHeight="1" spans="5:5">
      <c r="E361" s="33"/>
    </row>
    <row r="362" customHeight="1" spans="5:5">
      <c r="E362" s="33"/>
    </row>
    <row r="363" customHeight="1" spans="5:5">
      <c r="E363" s="33"/>
    </row>
    <row r="364" customHeight="1" spans="5:5">
      <c r="E364" s="33"/>
    </row>
    <row r="365" customHeight="1" spans="5:5">
      <c r="E365" s="33"/>
    </row>
    <row r="366" customHeight="1" spans="5:5">
      <c r="E366" s="33"/>
    </row>
    <row r="367" customHeight="1" spans="5:5">
      <c r="E367" s="33"/>
    </row>
    <row r="368" customHeight="1" spans="5:5">
      <c r="E368" s="33"/>
    </row>
    <row r="369" customHeight="1" spans="5:5">
      <c r="E369" s="33"/>
    </row>
    <row r="370" customHeight="1" spans="5:5">
      <c r="E370" s="33"/>
    </row>
    <row r="371" customHeight="1" spans="5:5">
      <c r="E371" s="33"/>
    </row>
    <row r="372" customHeight="1" spans="5:5">
      <c r="E372" s="33"/>
    </row>
    <row r="373" customHeight="1" spans="5:5">
      <c r="E373" s="33"/>
    </row>
    <row r="374" customHeight="1" spans="5:5">
      <c r="E374" s="33"/>
    </row>
    <row r="375" customHeight="1" spans="5:5">
      <c r="E375" s="33"/>
    </row>
    <row r="376" customHeight="1" spans="5:5">
      <c r="E376" s="33"/>
    </row>
    <row r="377" customHeight="1" spans="5:5">
      <c r="E377" s="33"/>
    </row>
    <row r="378" customHeight="1" spans="5:5">
      <c r="E378" s="33"/>
    </row>
    <row r="379" customHeight="1" spans="5:5">
      <c r="E379" s="33"/>
    </row>
    <row r="380" customHeight="1" spans="5:5">
      <c r="E380" s="33"/>
    </row>
    <row r="381" customHeight="1" spans="5:5">
      <c r="E381" s="33"/>
    </row>
    <row r="382" customHeight="1" spans="5:5">
      <c r="E382" s="33"/>
    </row>
    <row r="383" customHeight="1" spans="5:5">
      <c r="E383" s="33"/>
    </row>
    <row r="384" customHeight="1" spans="5:5">
      <c r="E384" s="33"/>
    </row>
    <row r="385" customHeight="1" spans="5:5">
      <c r="E385" s="33"/>
    </row>
    <row r="386" customHeight="1" spans="5:5">
      <c r="E386" s="33"/>
    </row>
    <row r="387" customHeight="1" spans="5:5">
      <c r="E387" s="33"/>
    </row>
    <row r="388" customHeight="1" spans="5:5">
      <c r="E388" s="33"/>
    </row>
    <row r="389" customHeight="1" spans="5:5">
      <c r="E389" s="33"/>
    </row>
    <row r="390" customHeight="1" spans="5:5">
      <c r="E390" s="33"/>
    </row>
    <row r="391" customHeight="1" spans="5:5">
      <c r="E391" s="33"/>
    </row>
    <row r="392" customHeight="1" spans="5:5">
      <c r="E392" s="33"/>
    </row>
    <row r="393" customHeight="1" spans="5:5">
      <c r="E393" s="33"/>
    </row>
    <row r="394" customHeight="1" spans="5:5">
      <c r="E394" s="33"/>
    </row>
    <row r="395" customHeight="1" spans="5:5">
      <c r="E395" s="33"/>
    </row>
    <row r="396" customHeight="1" spans="5:5">
      <c r="E396" s="33"/>
    </row>
    <row r="397" customHeight="1" spans="5:5">
      <c r="E397" s="33"/>
    </row>
    <row r="398" customHeight="1" spans="5:5">
      <c r="E398" s="33"/>
    </row>
    <row r="399" customHeight="1" spans="5:5">
      <c r="E399" s="33"/>
    </row>
    <row r="400" customHeight="1" spans="5:5">
      <c r="E400" s="33"/>
    </row>
    <row r="401" customHeight="1" spans="5:5">
      <c r="E401" s="33"/>
    </row>
    <row r="402" customHeight="1" spans="5:5">
      <c r="E402" s="33"/>
    </row>
    <row r="403" customHeight="1" spans="5:5">
      <c r="E403" s="33"/>
    </row>
    <row r="404" customHeight="1" spans="5:5">
      <c r="E404" s="33"/>
    </row>
    <row r="405" customHeight="1" spans="5:5">
      <c r="E405" s="33"/>
    </row>
    <row r="406" customHeight="1" spans="5:5">
      <c r="E406" s="33"/>
    </row>
    <row r="407" customHeight="1" spans="5:5">
      <c r="E407" s="33"/>
    </row>
    <row r="408" customHeight="1" spans="5:5">
      <c r="E408" s="33"/>
    </row>
    <row r="409" customHeight="1" spans="5:5">
      <c r="E409" s="33"/>
    </row>
    <row r="410" customHeight="1" spans="5:5">
      <c r="E410" s="33"/>
    </row>
    <row r="411" customHeight="1" spans="5:5">
      <c r="E411" s="33"/>
    </row>
    <row r="412" customHeight="1" spans="5:5">
      <c r="E412" s="33"/>
    </row>
    <row r="413" customHeight="1" spans="5:5">
      <c r="E413" s="33"/>
    </row>
    <row r="414" customHeight="1" spans="5:5">
      <c r="E414" s="33"/>
    </row>
    <row r="415" customHeight="1" spans="5:5">
      <c r="E415" s="33"/>
    </row>
    <row r="416" customHeight="1" spans="5:5">
      <c r="E416" s="33"/>
    </row>
    <row r="417" customHeight="1" spans="5:5">
      <c r="E417" s="33"/>
    </row>
    <row r="418" customHeight="1" spans="5:5">
      <c r="E418" s="33"/>
    </row>
    <row r="419" customHeight="1" spans="5:5">
      <c r="E419" s="33"/>
    </row>
    <row r="420" customHeight="1" spans="5:5">
      <c r="E420" s="33"/>
    </row>
    <row r="421" customHeight="1" spans="5:5">
      <c r="E421" s="33"/>
    </row>
    <row r="422" customHeight="1" spans="5:5">
      <c r="E422" s="33"/>
    </row>
    <row r="423" customHeight="1" spans="5:5">
      <c r="E423" s="33"/>
    </row>
    <row r="424" customHeight="1" spans="5:5">
      <c r="E424" s="33"/>
    </row>
    <row r="425" customHeight="1" spans="5:5">
      <c r="E425" s="33"/>
    </row>
    <row r="426" customHeight="1" spans="5:5">
      <c r="E426" s="33"/>
    </row>
    <row r="427" customHeight="1" spans="5:5">
      <c r="E427" s="33"/>
    </row>
    <row r="428" customHeight="1" spans="5:5">
      <c r="E428" s="33"/>
    </row>
    <row r="429" customHeight="1" spans="5:5">
      <c r="E429" s="33"/>
    </row>
    <row r="430" customHeight="1" spans="5:5">
      <c r="E430" s="33"/>
    </row>
    <row r="431" customHeight="1" spans="5:5">
      <c r="E431" s="33"/>
    </row>
    <row r="432" customHeight="1" spans="5:5">
      <c r="E432" s="33"/>
    </row>
    <row r="433" customHeight="1" spans="5:5">
      <c r="E433" s="33"/>
    </row>
    <row r="434" customHeight="1" spans="5:5">
      <c r="E434" s="33"/>
    </row>
    <row r="435" customHeight="1" spans="5:5">
      <c r="E435" s="33"/>
    </row>
    <row r="436" customHeight="1" spans="5:5">
      <c r="E436" s="33"/>
    </row>
    <row r="437" customHeight="1" spans="5:5">
      <c r="E437" s="33"/>
    </row>
    <row r="438" customHeight="1" spans="5:5">
      <c r="E438" s="33"/>
    </row>
    <row r="439" customHeight="1" spans="5:5">
      <c r="E439" s="33"/>
    </row>
    <row r="440" customHeight="1" spans="5:5">
      <c r="E440" s="33"/>
    </row>
    <row r="441" customHeight="1" spans="5:5">
      <c r="E441" s="33"/>
    </row>
    <row r="442" customHeight="1" spans="5:5">
      <c r="E442" s="33"/>
    </row>
    <row r="443" customHeight="1" spans="5:5">
      <c r="E443" s="33"/>
    </row>
    <row r="444" customHeight="1" spans="5:5">
      <c r="E444" s="33"/>
    </row>
    <row r="445" customHeight="1" spans="5:5">
      <c r="E445" s="33"/>
    </row>
    <row r="446" customHeight="1" spans="5:5">
      <c r="E446" s="33"/>
    </row>
    <row r="447" customHeight="1" spans="5:5">
      <c r="E447" s="33"/>
    </row>
    <row r="448" customHeight="1" spans="5:5">
      <c r="E448" s="33"/>
    </row>
    <row r="449" customHeight="1" spans="5:5">
      <c r="E449" s="33"/>
    </row>
    <row r="450" customHeight="1" spans="5:5">
      <c r="E450" s="33"/>
    </row>
    <row r="451" customHeight="1" spans="5:5">
      <c r="E451" s="33"/>
    </row>
    <row r="452" customHeight="1" spans="5:5">
      <c r="E452" s="33"/>
    </row>
    <row r="453" customHeight="1" spans="5:5">
      <c r="E453" s="33"/>
    </row>
    <row r="454" customHeight="1" spans="5:5">
      <c r="E454" s="33"/>
    </row>
    <row r="455" customHeight="1" spans="5:5">
      <c r="E455" s="33"/>
    </row>
    <row r="456" customHeight="1" spans="5:5">
      <c r="E456" s="33"/>
    </row>
    <row r="457" customHeight="1" spans="5:5">
      <c r="E457" s="33"/>
    </row>
    <row r="458" customHeight="1" spans="5:5">
      <c r="E458" s="33"/>
    </row>
    <row r="459" customHeight="1" spans="5:5">
      <c r="E459" s="33"/>
    </row>
    <row r="460" customHeight="1" spans="5:5">
      <c r="E460" s="33"/>
    </row>
    <row r="461" customHeight="1" spans="5:5">
      <c r="E461" s="33"/>
    </row>
    <row r="462" customHeight="1" spans="5:5">
      <c r="E462" s="33"/>
    </row>
    <row r="463" customHeight="1" spans="5:5">
      <c r="E463" s="33"/>
    </row>
    <row r="464" customHeight="1" spans="5:5">
      <c r="E464" s="33"/>
    </row>
    <row r="465" customHeight="1" spans="5:5">
      <c r="E465" s="33"/>
    </row>
    <row r="466" customHeight="1" spans="5:5">
      <c r="E466" s="33"/>
    </row>
    <row r="467" customHeight="1" spans="5:5">
      <c r="E467" s="33"/>
    </row>
    <row r="468" customHeight="1" spans="5:5">
      <c r="E468" s="33"/>
    </row>
    <row r="469" customHeight="1" spans="5:5">
      <c r="E469" s="33"/>
    </row>
    <row r="470" customHeight="1" spans="5:5">
      <c r="E470" s="33"/>
    </row>
    <row r="471" customHeight="1" spans="5:5">
      <c r="E471" s="33"/>
    </row>
    <row r="472" customHeight="1" spans="5:5">
      <c r="E472" s="33"/>
    </row>
    <row r="473" customHeight="1" spans="5:5">
      <c r="E473" s="33"/>
    </row>
    <row r="474" customHeight="1" spans="5:5">
      <c r="E474" s="33"/>
    </row>
    <row r="475" customHeight="1" spans="5:5">
      <c r="E475" s="33"/>
    </row>
    <row r="476" customHeight="1" spans="5:5">
      <c r="E476" s="33"/>
    </row>
    <row r="477" customHeight="1" spans="5:5">
      <c r="E477" s="33"/>
    </row>
    <row r="478" customHeight="1" spans="5:5">
      <c r="E478" s="33"/>
    </row>
    <row r="479" customHeight="1" spans="5:5">
      <c r="E479" s="33"/>
    </row>
    <row r="480" customHeight="1" spans="5:5">
      <c r="E480" s="33"/>
    </row>
    <row r="481" customHeight="1" spans="5:5">
      <c r="E481" s="33"/>
    </row>
    <row r="482" customHeight="1" spans="5:5">
      <c r="E482" s="33"/>
    </row>
    <row r="483" customHeight="1" spans="5:5">
      <c r="E483" s="33"/>
    </row>
    <row r="484" customHeight="1" spans="5:5">
      <c r="E484" s="33"/>
    </row>
    <row r="485" customHeight="1" spans="5:5">
      <c r="E485" s="33"/>
    </row>
    <row r="486" customHeight="1" spans="5:5">
      <c r="E486" s="33"/>
    </row>
    <row r="487" customHeight="1" spans="5:5">
      <c r="E487" s="33"/>
    </row>
    <row r="488" customHeight="1" spans="5:5">
      <c r="E488" s="33"/>
    </row>
    <row r="489" customHeight="1" spans="5:5">
      <c r="E489" s="33"/>
    </row>
    <row r="490" customHeight="1" spans="5:5">
      <c r="E490" s="33"/>
    </row>
    <row r="491" customHeight="1" spans="5:5">
      <c r="E491" s="33"/>
    </row>
    <row r="492" customHeight="1" spans="5:5">
      <c r="E492" s="33"/>
    </row>
    <row r="493" customHeight="1" spans="5:5">
      <c r="E493" s="33"/>
    </row>
    <row r="494" customHeight="1" spans="5:5">
      <c r="E494" s="33"/>
    </row>
    <row r="495" customHeight="1" spans="5:5">
      <c r="E495" s="33"/>
    </row>
    <row r="496" customHeight="1" spans="5:5">
      <c r="E496" s="33"/>
    </row>
    <row r="497" customHeight="1" spans="5:5">
      <c r="E497" s="33"/>
    </row>
    <row r="498" customHeight="1" spans="5:5">
      <c r="E498" s="33"/>
    </row>
    <row r="499" customHeight="1" spans="5:5">
      <c r="E499" s="33"/>
    </row>
    <row r="500" customHeight="1" spans="5:5">
      <c r="E500" s="33"/>
    </row>
    <row r="501" customHeight="1" spans="5:5">
      <c r="E501" s="33"/>
    </row>
    <row r="502" customHeight="1" spans="5:5">
      <c r="E502" s="33"/>
    </row>
    <row r="503" customHeight="1" spans="5:5">
      <c r="E503" s="33"/>
    </row>
    <row r="504" customHeight="1" spans="5:5">
      <c r="E504" s="33"/>
    </row>
    <row r="505" customHeight="1" spans="5:5">
      <c r="E505" s="33"/>
    </row>
    <row r="506" customHeight="1" spans="5:5">
      <c r="E506" s="33"/>
    </row>
    <row r="507" customHeight="1" spans="5:5">
      <c r="E507" s="33"/>
    </row>
    <row r="508" customHeight="1" spans="5:5">
      <c r="E508" s="33"/>
    </row>
    <row r="509" customHeight="1" spans="5:5">
      <c r="E509" s="33"/>
    </row>
    <row r="510" customHeight="1" spans="5:5">
      <c r="E510" s="33"/>
    </row>
    <row r="511" customHeight="1" spans="5:5">
      <c r="E511" s="33"/>
    </row>
    <row r="512" customHeight="1" spans="5:5">
      <c r="E512" s="33"/>
    </row>
    <row r="513" customHeight="1" spans="5:5">
      <c r="E513" s="33"/>
    </row>
    <row r="514" customHeight="1" spans="5:5">
      <c r="E514" s="33"/>
    </row>
    <row r="515" customHeight="1" spans="5:5">
      <c r="E515" s="33"/>
    </row>
    <row r="516" customHeight="1" spans="5:5">
      <c r="E516" s="33"/>
    </row>
    <row r="517" customHeight="1" spans="5:5">
      <c r="E517" s="33"/>
    </row>
    <row r="518" customHeight="1" spans="5:5">
      <c r="E518" s="33"/>
    </row>
    <row r="519" customHeight="1" spans="5:5">
      <c r="E519" s="33"/>
    </row>
    <row r="520" customHeight="1" spans="5:5">
      <c r="E520" s="33"/>
    </row>
    <row r="521" customHeight="1" spans="5:5">
      <c r="E521" s="33"/>
    </row>
    <row r="522" customHeight="1" spans="5:5">
      <c r="E522" s="33"/>
    </row>
    <row r="523" customHeight="1" spans="5:5">
      <c r="E523" s="33"/>
    </row>
    <row r="524" customHeight="1" spans="5:5">
      <c r="E524" s="33"/>
    </row>
    <row r="525" customHeight="1" spans="5:5">
      <c r="E525" s="33"/>
    </row>
    <row r="526" customHeight="1" spans="5:5">
      <c r="E526" s="33"/>
    </row>
    <row r="527" customHeight="1" spans="5:5">
      <c r="E527" s="33"/>
    </row>
    <row r="528" customHeight="1" spans="5:5">
      <c r="E528" s="33"/>
    </row>
    <row r="529" customHeight="1" spans="5:5">
      <c r="E529" s="33"/>
    </row>
    <row r="530" customHeight="1" spans="5:5">
      <c r="E530" s="33"/>
    </row>
    <row r="531" customHeight="1" spans="5:5">
      <c r="E531" s="33"/>
    </row>
    <row r="532" customHeight="1" spans="5:5">
      <c r="E532" s="33"/>
    </row>
    <row r="533" customHeight="1" spans="5:5">
      <c r="E533" s="33"/>
    </row>
    <row r="534" customHeight="1" spans="5:5">
      <c r="E534" s="33"/>
    </row>
    <row r="535" customHeight="1" spans="5:5">
      <c r="E535" s="33"/>
    </row>
    <row r="536" customHeight="1" spans="5:5">
      <c r="E536" s="33"/>
    </row>
    <row r="537" customHeight="1" spans="5:5">
      <c r="E537" s="33"/>
    </row>
    <row r="538" customHeight="1" spans="5:5">
      <c r="E538" s="33"/>
    </row>
    <row r="539" customHeight="1" spans="5:5">
      <c r="E539" s="33"/>
    </row>
    <row r="540" customHeight="1" spans="5:5">
      <c r="E540" s="33"/>
    </row>
    <row r="541" customHeight="1" spans="5:5">
      <c r="E541" s="33"/>
    </row>
    <row r="542" customHeight="1" spans="5:5">
      <c r="E542" s="33"/>
    </row>
    <row r="543" customHeight="1" spans="5:5">
      <c r="E543" s="33"/>
    </row>
    <row r="544" customHeight="1" spans="5:5">
      <c r="E544" s="33"/>
    </row>
    <row r="545" customHeight="1" spans="5:5">
      <c r="E545" s="33"/>
    </row>
    <row r="546" customHeight="1" spans="5:5">
      <c r="E546" s="33"/>
    </row>
    <row r="547" customHeight="1" spans="5:5">
      <c r="E547" s="33"/>
    </row>
    <row r="548" customHeight="1" spans="5:5">
      <c r="E548" s="33"/>
    </row>
    <row r="549" customHeight="1" spans="5:5">
      <c r="E549" s="33"/>
    </row>
    <row r="550" customHeight="1" spans="5:5">
      <c r="E550" s="33"/>
    </row>
    <row r="551" customHeight="1" spans="5:5">
      <c r="E551" s="33"/>
    </row>
    <row r="552" customHeight="1" spans="5:5">
      <c r="E552" s="33"/>
    </row>
    <row r="553" customHeight="1" spans="5:5">
      <c r="E553" s="33"/>
    </row>
    <row r="554" customHeight="1" spans="5:5">
      <c r="E554" s="33"/>
    </row>
    <row r="555" customHeight="1" spans="5:5">
      <c r="E555" s="33"/>
    </row>
    <row r="556" customHeight="1" spans="5:5">
      <c r="E556" s="33"/>
    </row>
    <row r="557" customHeight="1" spans="5:5">
      <c r="E557" s="33"/>
    </row>
    <row r="558" customHeight="1" spans="5:5">
      <c r="E558" s="33"/>
    </row>
    <row r="559" customHeight="1" spans="5:5">
      <c r="E559" s="33"/>
    </row>
    <row r="560" customHeight="1" spans="5:5">
      <c r="E560" s="33"/>
    </row>
    <row r="561" customHeight="1" spans="5:5">
      <c r="E561" s="33"/>
    </row>
    <row r="562" customHeight="1" spans="5:5">
      <c r="E562" s="33"/>
    </row>
    <row r="563" customHeight="1" spans="5:5">
      <c r="E563" s="33"/>
    </row>
    <row r="564" customHeight="1" spans="5:5">
      <c r="E564" s="33"/>
    </row>
    <row r="565" customHeight="1" spans="5:5">
      <c r="E565" s="33"/>
    </row>
    <row r="566" customHeight="1" spans="5:5">
      <c r="E566" s="33"/>
    </row>
    <row r="567" customHeight="1" spans="5:5">
      <c r="E567" s="33"/>
    </row>
    <row r="568" customHeight="1" spans="5:5">
      <c r="E568" s="33"/>
    </row>
    <row r="569" customHeight="1" spans="5:5">
      <c r="E569" s="33"/>
    </row>
    <row r="570" customHeight="1" spans="5:5">
      <c r="E570" s="33"/>
    </row>
    <row r="571" customHeight="1" spans="5:5">
      <c r="E571" s="33"/>
    </row>
    <row r="572" customHeight="1" spans="5:5">
      <c r="E572" s="33"/>
    </row>
    <row r="573" customHeight="1" spans="5:5">
      <c r="E573" s="33"/>
    </row>
    <row r="574" customHeight="1" spans="5:5">
      <c r="E574" s="33"/>
    </row>
    <row r="575" customHeight="1" spans="5:5">
      <c r="E575" s="33"/>
    </row>
    <row r="576" customHeight="1" spans="5:5">
      <c r="E576" s="33"/>
    </row>
    <row r="577" customHeight="1" spans="5:5">
      <c r="E577" s="33"/>
    </row>
    <row r="578" customHeight="1" spans="5:5">
      <c r="E578" s="33"/>
    </row>
    <row r="579" customHeight="1" spans="5:5">
      <c r="E579" s="33"/>
    </row>
    <row r="580" customHeight="1" spans="5:5">
      <c r="E580" s="33"/>
    </row>
    <row r="581" customHeight="1" spans="5:5">
      <c r="E581" s="33"/>
    </row>
    <row r="582" customHeight="1" spans="5:5">
      <c r="E582" s="33"/>
    </row>
    <row r="583" customHeight="1" spans="5:5">
      <c r="E583" s="33"/>
    </row>
    <row r="584" customHeight="1" spans="5:5">
      <c r="E584" s="33"/>
    </row>
    <row r="585" customHeight="1" spans="5:5">
      <c r="E585" s="33"/>
    </row>
    <row r="586" customHeight="1" spans="5:5">
      <c r="E586" s="33"/>
    </row>
    <row r="587" customHeight="1" spans="5:5">
      <c r="E587" s="33"/>
    </row>
    <row r="588" customHeight="1" spans="5:5">
      <c r="E588" s="33"/>
    </row>
    <row r="589" customHeight="1" spans="5:5">
      <c r="E589" s="33"/>
    </row>
    <row r="590" customHeight="1" spans="5:5">
      <c r="E590" s="33"/>
    </row>
    <row r="591" customHeight="1" spans="5:5">
      <c r="E591" s="33"/>
    </row>
    <row r="592" customHeight="1" spans="5:5">
      <c r="E592" s="33"/>
    </row>
    <row r="593" customHeight="1" spans="5:5">
      <c r="E593" s="33"/>
    </row>
    <row r="594" customHeight="1" spans="5:5">
      <c r="E594" s="33"/>
    </row>
    <row r="595" customHeight="1" spans="5:5">
      <c r="E595" s="33"/>
    </row>
    <row r="596" customHeight="1" spans="5:5">
      <c r="E596" s="33"/>
    </row>
    <row r="597" customHeight="1" spans="5:5">
      <c r="E597" s="33"/>
    </row>
    <row r="598" customHeight="1" spans="5:5">
      <c r="E598" s="33"/>
    </row>
    <row r="599" customHeight="1" spans="5:5">
      <c r="E599" s="33"/>
    </row>
    <row r="600" customHeight="1" spans="5:5">
      <c r="E600" s="33"/>
    </row>
    <row r="601" customHeight="1" spans="5:5">
      <c r="E601" s="33"/>
    </row>
    <row r="602" customHeight="1" spans="5:5">
      <c r="E602" s="33"/>
    </row>
    <row r="603" customHeight="1" spans="5:5">
      <c r="E603" s="33"/>
    </row>
    <row r="604" customHeight="1" spans="5:5">
      <c r="E604" s="33"/>
    </row>
    <row r="605" customHeight="1" spans="5:5">
      <c r="E605" s="33"/>
    </row>
    <row r="606" customHeight="1" spans="5:5">
      <c r="E606" s="33"/>
    </row>
    <row r="607" customHeight="1" spans="5:5">
      <c r="E607" s="33"/>
    </row>
    <row r="608" customHeight="1" spans="5:5">
      <c r="E608" s="33"/>
    </row>
    <row r="609" customHeight="1" spans="5:5">
      <c r="E609" s="33"/>
    </row>
    <row r="610" customHeight="1" spans="5:5">
      <c r="E610" s="33"/>
    </row>
    <row r="611" customHeight="1" spans="5:5">
      <c r="E611" s="33"/>
    </row>
    <row r="612" customHeight="1" spans="5:5">
      <c r="E612" s="33"/>
    </row>
    <row r="613" customHeight="1" spans="5:5">
      <c r="E613" s="33"/>
    </row>
    <row r="614" customHeight="1" spans="5:5">
      <c r="E614" s="33"/>
    </row>
    <row r="615" customHeight="1" spans="5:5">
      <c r="E615" s="33"/>
    </row>
    <row r="616" customHeight="1" spans="5:5">
      <c r="E616" s="33"/>
    </row>
    <row r="617" customHeight="1" spans="5:5">
      <c r="E617" s="33"/>
    </row>
    <row r="618" customHeight="1" spans="5:5">
      <c r="E618" s="33"/>
    </row>
    <row r="619" customHeight="1" spans="5:5">
      <c r="E619" s="33"/>
    </row>
    <row r="620" customHeight="1" spans="5:5">
      <c r="E620" s="33"/>
    </row>
    <row r="621" customHeight="1" spans="5:5">
      <c r="E621" s="33"/>
    </row>
    <row r="622" customHeight="1" spans="5:5">
      <c r="E622" s="33"/>
    </row>
    <row r="623" customHeight="1" spans="5:5">
      <c r="E623" s="33"/>
    </row>
    <row r="624" customHeight="1" spans="5:5">
      <c r="E624" s="33"/>
    </row>
    <row r="625" customHeight="1" spans="5:5">
      <c r="E625" s="33"/>
    </row>
    <row r="626" customHeight="1" spans="5:5">
      <c r="E626" s="33"/>
    </row>
    <row r="627" customHeight="1" spans="5:5">
      <c r="E627" s="33"/>
    </row>
    <row r="628" customHeight="1" spans="5:5">
      <c r="E628" s="33"/>
    </row>
    <row r="629" customHeight="1" spans="5:5">
      <c r="E629" s="33"/>
    </row>
    <row r="630" customHeight="1" spans="5:5">
      <c r="E630" s="33"/>
    </row>
    <row r="631" customHeight="1" spans="5:5">
      <c r="E631" s="33"/>
    </row>
    <row r="632" customHeight="1" spans="5:5">
      <c r="E632" s="33"/>
    </row>
    <row r="633" customHeight="1" spans="5:5">
      <c r="E633" s="33"/>
    </row>
    <row r="634" customHeight="1" spans="5:5">
      <c r="E634" s="33"/>
    </row>
    <row r="635" customHeight="1" spans="5:5">
      <c r="E635" s="33"/>
    </row>
    <row r="636" customHeight="1" spans="5:5">
      <c r="E636" s="33"/>
    </row>
    <row r="637" customHeight="1" spans="5:5">
      <c r="E637" s="33"/>
    </row>
    <row r="638" customHeight="1" spans="5:5">
      <c r="E638" s="33"/>
    </row>
    <row r="639" customHeight="1" spans="5:5">
      <c r="E639" s="33"/>
    </row>
    <row r="640" customHeight="1" spans="5:5">
      <c r="E640" s="33"/>
    </row>
    <row r="641" customHeight="1" spans="5:5">
      <c r="E641" s="33"/>
    </row>
    <row r="642" customHeight="1" spans="5:5">
      <c r="E642" s="33"/>
    </row>
    <row r="643" customHeight="1" spans="5:5">
      <c r="E643" s="33"/>
    </row>
    <row r="644" customHeight="1" spans="5:5">
      <c r="E644" s="33"/>
    </row>
    <row r="645" customHeight="1" spans="5:5">
      <c r="E645" s="33"/>
    </row>
    <row r="646" customHeight="1" spans="5:5">
      <c r="E646" s="33"/>
    </row>
    <row r="647" customHeight="1" spans="5:5">
      <c r="E647" s="33"/>
    </row>
    <row r="648" customHeight="1" spans="5:5">
      <c r="E648" s="33"/>
    </row>
    <row r="649" customHeight="1" spans="5:5">
      <c r="E649" s="33"/>
    </row>
    <row r="650" customHeight="1" spans="5:5">
      <c r="E650" s="33"/>
    </row>
    <row r="651" customHeight="1" spans="5:5">
      <c r="E651" s="33"/>
    </row>
    <row r="652" customHeight="1" spans="5:5">
      <c r="E652" s="33"/>
    </row>
    <row r="653" customHeight="1" spans="5:5">
      <c r="E653" s="33"/>
    </row>
    <row r="654" customHeight="1" spans="5:5">
      <c r="E654" s="33"/>
    </row>
    <row r="655" customHeight="1" spans="5:5">
      <c r="E655" s="33"/>
    </row>
    <row r="656" customHeight="1" spans="5:5">
      <c r="E656" s="33"/>
    </row>
    <row r="657" customHeight="1" spans="5:5">
      <c r="E657" s="33"/>
    </row>
    <row r="658" customHeight="1" spans="5:5">
      <c r="E658" s="33"/>
    </row>
    <row r="659" customHeight="1" spans="5:5">
      <c r="E659" s="33"/>
    </row>
    <row r="660" customHeight="1" spans="5:5">
      <c r="E660" s="33"/>
    </row>
    <row r="661" customHeight="1" spans="5:5">
      <c r="E661" s="33"/>
    </row>
    <row r="662" customHeight="1" spans="5:5">
      <c r="E662" s="33"/>
    </row>
    <row r="663" customHeight="1" spans="5:5">
      <c r="E663" s="33"/>
    </row>
    <row r="664" customHeight="1" spans="5:5">
      <c r="E664" s="33"/>
    </row>
    <row r="665" customHeight="1" spans="5:5">
      <c r="E665" s="33"/>
    </row>
    <row r="666" customHeight="1" spans="5:5">
      <c r="E666" s="33"/>
    </row>
    <row r="667" customHeight="1" spans="5:5">
      <c r="E667" s="33"/>
    </row>
    <row r="668" customHeight="1" spans="5:5">
      <c r="E668" s="33"/>
    </row>
    <row r="669" customHeight="1" spans="5:5">
      <c r="E669" s="33"/>
    </row>
    <row r="670" customHeight="1" spans="5:5">
      <c r="E670" s="33"/>
    </row>
    <row r="671" customHeight="1" spans="5:5">
      <c r="E671" s="33"/>
    </row>
    <row r="672" customHeight="1" spans="5:5">
      <c r="E672" s="33"/>
    </row>
    <row r="673" customHeight="1" spans="5:5">
      <c r="E673" s="33"/>
    </row>
    <row r="674" customHeight="1" spans="5:5">
      <c r="E674" s="33"/>
    </row>
    <row r="675" customHeight="1" spans="5:5">
      <c r="E675" s="33"/>
    </row>
    <row r="676" customHeight="1" spans="5:5">
      <c r="E676" s="33"/>
    </row>
    <row r="677" customHeight="1" spans="5:5">
      <c r="E677" s="33"/>
    </row>
    <row r="678" customHeight="1" spans="5:5">
      <c r="E678" s="33"/>
    </row>
    <row r="679" customHeight="1" spans="5:5">
      <c r="E679" s="33"/>
    </row>
    <row r="680" customHeight="1" spans="5:5">
      <c r="E680" s="33"/>
    </row>
    <row r="681" customHeight="1" spans="5:5">
      <c r="E681" s="33"/>
    </row>
    <row r="682" customHeight="1" spans="5:5">
      <c r="E682" s="33"/>
    </row>
    <row r="683" customHeight="1" spans="5:5">
      <c r="E683" s="33"/>
    </row>
    <row r="684" customHeight="1" spans="5:5">
      <c r="E684" s="33"/>
    </row>
    <row r="685" customHeight="1" spans="5:5">
      <c r="E685" s="33"/>
    </row>
    <row r="686" customHeight="1" spans="5:5">
      <c r="E686" s="33"/>
    </row>
    <row r="687" customHeight="1" spans="5:5">
      <c r="E687" s="33"/>
    </row>
    <row r="688" customHeight="1" spans="5:5">
      <c r="E688" s="33"/>
    </row>
    <row r="689" customHeight="1" spans="5:5">
      <c r="E689" s="33"/>
    </row>
    <row r="690" customHeight="1" spans="5:5">
      <c r="E690" s="33"/>
    </row>
    <row r="691" customHeight="1" spans="5:5">
      <c r="E691" s="33"/>
    </row>
    <row r="692" customHeight="1" spans="5:5">
      <c r="E692" s="33"/>
    </row>
    <row r="693" customHeight="1" spans="5:5">
      <c r="E693" s="33"/>
    </row>
    <row r="694" customHeight="1" spans="5:5">
      <c r="E694" s="33"/>
    </row>
    <row r="695" customHeight="1" spans="5:5">
      <c r="E695" s="33"/>
    </row>
    <row r="696" customHeight="1" spans="5:5">
      <c r="E696" s="33"/>
    </row>
    <row r="697" customHeight="1" spans="5:5">
      <c r="E697" s="33"/>
    </row>
    <row r="698" customHeight="1" spans="5:5">
      <c r="E698" s="33"/>
    </row>
    <row r="699" customHeight="1" spans="5:5">
      <c r="E699" s="33"/>
    </row>
    <row r="700" customHeight="1" spans="5:5">
      <c r="E700" s="33"/>
    </row>
    <row r="701" customHeight="1" spans="5:5">
      <c r="E701" s="33"/>
    </row>
    <row r="702" customHeight="1" spans="5:5">
      <c r="E702" s="33"/>
    </row>
    <row r="703" customHeight="1" spans="5:5">
      <c r="E703" s="33"/>
    </row>
    <row r="704" customHeight="1" spans="5:5">
      <c r="E704" s="33"/>
    </row>
    <row r="705" customHeight="1" spans="5:5">
      <c r="E705" s="33"/>
    </row>
    <row r="706" customHeight="1" spans="5:5">
      <c r="E706" s="33"/>
    </row>
    <row r="707" customHeight="1" spans="5:5">
      <c r="E707" s="33"/>
    </row>
    <row r="708" customHeight="1" spans="5:5">
      <c r="E708" s="33"/>
    </row>
    <row r="709" customHeight="1" spans="5:5">
      <c r="E709" s="33"/>
    </row>
    <row r="710" customHeight="1" spans="5:5">
      <c r="E710" s="33"/>
    </row>
    <row r="711" customHeight="1" spans="5:5">
      <c r="E711" s="33"/>
    </row>
    <row r="712" customHeight="1" spans="5:5">
      <c r="E712" s="33"/>
    </row>
    <row r="713" customHeight="1" spans="5:5">
      <c r="E713" s="33"/>
    </row>
    <row r="714" customHeight="1" spans="5:5">
      <c r="E714" s="33"/>
    </row>
    <row r="715" customHeight="1" spans="5:5">
      <c r="E715" s="33"/>
    </row>
    <row r="716" customHeight="1" spans="5:5">
      <c r="E716" s="33"/>
    </row>
    <row r="717" customHeight="1" spans="5:5">
      <c r="E717" s="33"/>
    </row>
    <row r="718" customHeight="1" spans="5:5">
      <c r="E718" s="33"/>
    </row>
    <row r="719" customHeight="1" spans="5:5">
      <c r="E719" s="33"/>
    </row>
    <row r="720" customHeight="1" spans="5:5">
      <c r="E720" s="33"/>
    </row>
    <row r="721" customHeight="1" spans="5:5">
      <c r="E721" s="33"/>
    </row>
    <row r="722" customHeight="1" spans="5:5">
      <c r="E722" s="33"/>
    </row>
    <row r="723" customHeight="1" spans="5:5">
      <c r="E723" s="33"/>
    </row>
    <row r="724" customHeight="1" spans="5:5">
      <c r="E724" s="33"/>
    </row>
    <row r="725" customHeight="1" spans="5:5">
      <c r="E725" s="33"/>
    </row>
    <row r="726" customHeight="1" spans="5:5">
      <c r="E726" s="33"/>
    </row>
    <row r="727" customHeight="1" spans="5:5">
      <c r="E727" s="33"/>
    </row>
    <row r="728" customHeight="1" spans="5:5">
      <c r="E728" s="33"/>
    </row>
    <row r="729" customHeight="1" spans="5:5">
      <c r="E729" s="33"/>
    </row>
    <row r="730" customHeight="1" spans="5:5">
      <c r="E730" s="33"/>
    </row>
    <row r="731" customHeight="1" spans="5:5">
      <c r="E731" s="33"/>
    </row>
    <row r="732" customHeight="1" spans="5:5">
      <c r="E732" s="33"/>
    </row>
    <row r="733" customHeight="1" spans="5:5">
      <c r="E733" s="33"/>
    </row>
    <row r="734" customHeight="1" spans="5:5">
      <c r="E734" s="33"/>
    </row>
    <row r="735" customHeight="1" spans="5:5">
      <c r="E735" s="33"/>
    </row>
    <row r="736" customHeight="1" spans="5:5">
      <c r="E736" s="33"/>
    </row>
    <row r="737" customHeight="1" spans="5:5">
      <c r="E737" s="33"/>
    </row>
    <row r="738" customHeight="1" spans="5:5">
      <c r="E738" s="33"/>
    </row>
    <row r="739" customHeight="1" spans="5:5">
      <c r="E739" s="33"/>
    </row>
    <row r="740" customHeight="1" spans="5:5">
      <c r="E740" s="33"/>
    </row>
    <row r="741" customHeight="1" spans="5:5">
      <c r="E741" s="33"/>
    </row>
    <row r="742" customHeight="1" spans="5:5">
      <c r="E742" s="33"/>
    </row>
    <row r="743" customHeight="1" spans="5:5">
      <c r="E743" s="33"/>
    </row>
    <row r="744" customHeight="1" spans="5:5">
      <c r="E744" s="33"/>
    </row>
    <row r="745" customHeight="1" spans="5:5">
      <c r="E745" s="33"/>
    </row>
    <row r="746" customHeight="1" spans="5:5">
      <c r="E746" s="33"/>
    </row>
    <row r="747" customHeight="1" spans="5:5">
      <c r="E747" s="33"/>
    </row>
    <row r="748" customHeight="1" spans="5:5">
      <c r="E748" s="33"/>
    </row>
    <row r="749" customHeight="1" spans="5:5">
      <c r="E749" s="33"/>
    </row>
    <row r="750" customHeight="1" spans="5:5">
      <c r="E750" s="33"/>
    </row>
    <row r="751" customHeight="1" spans="5:5">
      <c r="E751" s="33"/>
    </row>
    <row r="752" customHeight="1" spans="5:5">
      <c r="E752" s="33"/>
    </row>
    <row r="753" customHeight="1" spans="5:5">
      <c r="E753" s="33"/>
    </row>
    <row r="754" customHeight="1" spans="5:5">
      <c r="E754" s="33"/>
    </row>
    <row r="755" customHeight="1" spans="5:5">
      <c r="E755" s="33"/>
    </row>
    <row r="756" customHeight="1" spans="5:5">
      <c r="E756" s="33"/>
    </row>
    <row r="757" customHeight="1" spans="5:5">
      <c r="E757" s="33"/>
    </row>
    <row r="758" customHeight="1" spans="5:5">
      <c r="E758" s="33"/>
    </row>
    <row r="759" customHeight="1" spans="5:5">
      <c r="E759" s="33"/>
    </row>
    <row r="760" customHeight="1" spans="5:5">
      <c r="E760" s="33"/>
    </row>
    <row r="761" customHeight="1" spans="5:5">
      <c r="E761" s="33"/>
    </row>
    <row r="762" customHeight="1" spans="5:5">
      <c r="E762" s="33"/>
    </row>
    <row r="763" customHeight="1" spans="5:5">
      <c r="E763" s="33"/>
    </row>
    <row r="764" customHeight="1" spans="5:5">
      <c r="E764" s="33"/>
    </row>
    <row r="765" customHeight="1" spans="5:5">
      <c r="E765" s="33"/>
    </row>
    <row r="766" customHeight="1" spans="5:5">
      <c r="E766" s="33"/>
    </row>
    <row r="767" customHeight="1" spans="5:5">
      <c r="E767" s="33"/>
    </row>
    <row r="768" customHeight="1" spans="5:5">
      <c r="E768" s="33"/>
    </row>
    <row r="769" customHeight="1" spans="5:5">
      <c r="E769" s="33"/>
    </row>
    <row r="770" customHeight="1" spans="5:5">
      <c r="E770" s="33"/>
    </row>
    <row r="771" customHeight="1" spans="5:5">
      <c r="E771" s="33"/>
    </row>
    <row r="772" customHeight="1" spans="5:5">
      <c r="E772" s="33"/>
    </row>
    <row r="773" customHeight="1" spans="5:5">
      <c r="E773" s="33"/>
    </row>
    <row r="774" customHeight="1" spans="5:5">
      <c r="E774" s="33"/>
    </row>
    <row r="775" customHeight="1" spans="5:5">
      <c r="E775" s="33"/>
    </row>
    <row r="776" customHeight="1" spans="5:5">
      <c r="E776" s="33"/>
    </row>
    <row r="777" customHeight="1" spans="5:5">
      <c r="E777" s="33"/>
    </row>
    <row r="778" customHeight="1" spans="5:5">
      <c r="E778" s="33"/>
    </row>
    <row r="779" customHeight="1" spans="5:5">
      <c r="E779" s="33"/>
    </row>
    <row r="780" customHeight="1" spans="5:5">
      <c r="E780" s="33"/>
    </row>
    <row r="781" customHeight="1" spans="5:5">
      <c r="E781" s="33"/>
    </row>
    <row r="782" customHeight="1" spans="5:5">
      <c r="E782" s="33"/>
    </row>
    <row r="783" customHeight="1" spans="5:5">
      <c r="E783" s="33"/>
    </row>
    <row r="784" customHeight="1" spans="5:5">
      <c r="E784" s="33"/>
    </row>
    <row r="785" customHeight="1" spans="5:5">
      <c r="E785" s="33"/>
    </row>
    <row r="786" customHeight="1" spans="5:5">
      <c r="E786" s="33"/>
    </row>
    <row r="787" customHeight="1" spans="5:5">
      <c r="E787" s="33"/>
    </row>
    <row r="788" customHeight="1" spans="5:5">
      <c r="E788" s="33"/>
    </row>
    <row r="789" customHeight="1" spans="5:5">
      <c r="E789" s="33"/>
    </row>
    <row r="790" customHeight="1" spans="5:5">
      <c r="E790" s="33"/>
    </row>
    <row r="791" customHeight="1" spans="5:5">
      <c r="E791" s="33"/>
    </row>
    <row r="792" customHeight="1" spans="5:5">
      <c r="E792" s="33"/>
    </row>
    <row r="793" customHeight="1" spans="5:5">
      <c r="E793" s="33"/>
    </row>
    <row r="794" customHeight="1" spans="5:5">
      <c r="E794" s="33"/>
    </row>
    <row r="795" customHeight="1" spans="5:5">
      <c r="E795" s="33"/>
    </row>
    <row r="796" customHeight="1" spans="5:5">
      <c r="E796" s="33"/>
    </row>
    <row r="797" customHeight="1" spans="5:5">
      <c r="E797" s="33"/>
    </row>
    <row r="798" customHeight="1" spans="5:5">
      <c r="E798" s="33"/>
    </row>
    <row r="799" customHeight="1" spans="5:5">
      <c r="E799" s="33"/>
    </row>
    <row r="800" customHeight="1" spans="5:5">
      <c r="E800" s="33"/>
    </row>
    <row r="801" customHeight="1" spans="5:5">
      <c r="E801" s="33"/>
    </row>
    <row r="802" customHeight="1" spans="5:5">
      <c r="E802" s="33"/>
    </row>
    <row r="803" customHeight="1" spans="5:5">
      <c r="E803" s="33"/>
    </row>
    <row r="804" customHeight="1" spans="5:5">
      <c r="E804" s="33"/>
    </row>
    <row r="805" customHeight="1" spans="5:5">
      <c r="E805" s="33"/>
    </row>
    <row r="806" customHeight="1" spans="5:5">
      <c r="E806" s="33"/>
    </row>
    <row r="807" customHeight="1" spans="5:5">
      <c r="E807" s="33"/>
    </row>
    <row r="808" customHeight="1" spans="5:5">
      <c r="E808" s="33"/>
    </row>
    <row r="809" customHeight="1" spans="5:5">
      <c r="E809" s="33"/>
    </row>
    <row r="810" customHeight="1" spans="5:5">
      <c r="E810" s="33"/>
    </row>
    <row r="811" customHeight="1" spans="5:5">
      <c r="E811" s="33"/>
    </row>
    <row r="812" customHeight="1" spans="5:5">
      <c r="E812" s="33"/>
    </row>
    <row r="813" customHeight="1" spans="5:5">
      <c r="E813" s="33"/>
    </row>
    <row r="814" customHeight="1" spans="5:5">
      <c r="E814" s="33"/>
    </row>
    <row r="815" customHeight="1" spans="5:5">
      <c r="E815" s="33"/>
    </row>
    <row r="816" customHeight="1" spans="5:5">
      <c r="E816" s="33"/>
    </row>
    <row r="817" customHeight="1" spans="5:5">
      <c r="E817" s="33"/>
    </row>
    <row r="818" customHeight="1" spans="5:5">
      <c r="E818" s="33"/>
    </row>
    <row r="819" customHeight="1" spans="5:5">
      <c r="E819" s="33"/>
    </row>
    <row r="820" customHeight="1" spans="5:5">
      <c r="E820" s="33"/>
    </row>
    <row r="821" customHeight="1" spans="5:5">
      <c r="E821" s="33"/>
    </row>
    <row r="822" customHeight="1" spans="5:5">
      <c r="E822" s="33"/>
    </row>
    <row r="823" customHeight="1" spans="5:5">
      <c r="E823" s="33"/>
    </row>
    <row r="824" customHeight="1" spans="5:5">
      <c r="E824" s="33"/>
    </row>
    <row r="825" customHeight="1" spans="5:5">
      <c r="E825" s="33"/>
    </row>
    <row r="826" customHeight="1" spans="5:5">
      <c r="E826" s="33"/>
    </row>
    <row r="827" customHeight="1" spans="5:5">
      <c r="E827" s="33"/>
    </row>
    <row r="828" customHeight="1" spans="5:5">
      <c r="E828" s="33"/>
    </row>
    <row r="829" customHeight="1" spans="5:5">
      <c r="E829" s="33"/>
    </row>
    <row r="830" customHeight="1" spans="5:5">
      <c r="E830" s="33"/>
    </row>
    <row r="831" customHeight="1" spans="5:5">
      <c r="E831" s="33"/>
    </row>
    <row r="832" customHeight="1" spans="5:5">
      <c r="E832" s="33"/>
    </row>
    <row r="833" customHeight="1" spans="5:5">
      <c r="E833" s="33"/>
    </row>
    <row r="834" customHeight="1" spans="5:5">
      <c r="E834" s="33"/>
    </row>
    <row r="835" customHeight="1" spans="5:5">
      <c r="E835" s="33"/>
    </row>
    <row r="836" customHeight="1" spans="5:5">
      <c r="E836" s="33"/>
    </row>
    <row r="837" customHeight="1" spans="5:5">
      <c r="E837" s="33"/>
    </row>
    <row r="838" customHeight="1" spans="5:5">
      <c r="E838" s="33"/>
    </row>
    <row r="839" customHeight="1" spans="5:5">
      <c r="E839" s="33"/>
    </row>
    <row r="840" customHeight="1" spans="5:5">
      <c r="E840" s="33"/>
    </row>
    <row r="841" customHeight="1" spans="5:5">
      <c r="E841" s="33"/>
    </row>
    <row r="842" customHeight="1" spans="5:5">
      <c r="E842" s="33"/>
    </row>
    <row r="843" customHeight="1" spans="5:5">
      <c r="E843" s="33"/>
    </row>
    <row r="844" customHeight="1" spans="5:5">
      <c r="E844" s="33"/>
    </row>
    <row r="845" customHeight="1" spans="5:5">
      <c r="E845" s="33"/>
    </row>
    <row r="846" customHeight="1" spans="5:5">
      <c r="E846" s="33"/>
    </row>
    <row r="847" customHeight="1" spans="5:5">
      <c r="E847" s="33"/>
    </row>
    <row r="848" customHeight="1" spans="5:5">
      <c r="E848" s="33"/>
    </row>
    <row r="849" customHeight="1" spans="5:5">
      <c r="E849" s="33"/>
    </row>
    <row r="850" customHeight="1" spans="5:5">
      <c r="E850" s="33"/>
    </row>
    <row r="851" customHeight="1" spans="5:5">
      <c r="E851" s="33"/>
    </row>
    <row r="852" customHeight="1" spans="5:5">
      <c r="E852" s="33"/>
    </row>
    <row r="853" customHeight="1" spans="5:5">
      <c r="E853" s="33"/>
    </row>
    <row r="854" customHeight="1" spans="5:5">
      <c r="E854" s="33"/>
    </row>
    <row r="855" customHeight="1" spans="5:5">
      <c r="E855" s="33"/>
    </row>
    <row r="856" customHeight="1" spans="5:5">
      <c r="E856" s="33"/>
    </row>
    <row r="857" customHeight="1" spans="5:5">
      <c r="E857" s="33"/>
    </row>
    <row r="858" customHeight="1" spans="5:5">
      <c r="E858" s="33"/>
    </row>
    <row r="859" customHeight="1" spans="5:5">
      <c r="E859" s="33"/>
    </row>
    <row r="860" customHeight="1" spans="5:5">
      <c r="E860" s="33"/>
    </row>
    <row r="861" customHeight="1" spans="5:5">
      <c r="E861" s="33"/>
    </row>
    <row r="862" customHeight="1" spans="5:5">
      <c r="E862" s="33"/>
    </row>
    <row r="863" customHeight="1" spans="5:5">
      <c r="E863" s="33"/>
    </row>
    <row r="864" customHeight="1" spans="5:5">
      <c r="E864" s="33"/>
    </row>
    <row r="865" customHeight="1" spans="5:5">
      <c r="E865" s="33"/>
    </row>
    <row r="866" customHeight="1" spans="5:5">
      <c r="E866" s="33"/>
    </row>
    <row r="867" customHeight="1" spans="5:5">
      <c r="E867" s="33"/>
    </row>
    <row r="868" customHeight="1" spans="5:5">
      <c r="E868" s="33"/>
    </row>
    <row r="869" customHeight="1" spans="5:5">
      <c r="E869" s="33"/>
    </row>
    <row r="870" customHeight="1" spans="5:5">
      <c r="E870" s="33"/>
    </row>
    <row r="871" customHeight="1" spans="5:5">
      <c r="E871" s="33"/>
    </row>
    <row r="872" customHeight="1" spans="5:5">
      <c r="E872" s="33"/>
    </row>
    <row r="873" customHeight="1" spans="5:5">
      <c r="E873" s="33"/>
    </row>
    <row r="874" customHeight="1" spans="5:5">
      <c r="E874" s="33"/>
    </row>
    <row r="875" customHeight="1" spans="5:5">
      <c r="E875" s="33"/>
    </row>
    <row r="876" customHeight="1" spans="5:5">
      <c r="E876" s="33"/>
    </row>
    <row r="877" customHeight="1" spans="5:5">
      <c r="E877" s="33"/>
    </row>
    <row r="878" customHeight="1" spans="5:5">
      <c r="E878" s="33"/>
    </row>
    <row r="879" customHeight="1" spans="5:5">
      <c r="E879" s="33"/>
    </row>
    <row r="880" customHeight="1" spans="5:5">
      <c r="E880" s="33"/>
    </row>
    <row r="881" customHeight="1" spans="5:5">
      <c r="E881" s="33"/>
    </row>
    <row r="882" customHeight="1" spans="5:5">
      <c r="E882" s="33"/>
    </row>
    <row r="883" customHeight="1" spans="5:5">
      <c r="E883" s="33"/>
    </row>
    <row r="884" customHeight="1" spans="5:5">
      <c r="E884" s="33"/>
    </row>
    <row r="885" customHeight="1" spans="5:5">
      <c r="E885" s="33"/>
    </row>
    <row r="886" customHeight="1" spans="5:5">
      <c r="E886" s="33"/>
    </row>
    <row r="887" customHeight="1" spans="5:5">
      <c r="E887" s="33"/>
    </row>
    <row r="888" customHeight="1" spans="5:5">
      <c r="E888" s="33"/>
    </row>
    <row r="889" customHeight="1" spans="5:5">
      <c r="E889" s="33"/>
    </row>
    <row r="890" customHeight="1" spans="5:5">
      <c r="E890" s="33"/>
    </row>
    <row r="891" customHeight="1" spans="5:5">
      <c r="E891" s="33"/>
    </row>
    <row r="892" customHeight="1" spans="5:5">
      <c r="E892" s="33"/>
    </row>
    <row r="893" customHeight="1" spans="5:5">
      <c r="E893" s="33"/>
    </row>
    <row r="894" customHeight="1" spans="5:5">
      <c r="E894" s="33"/>
    </row>
    <row r="895" customHeight="1" spans="5:5">
      <c r="E895" s="33"/>
    </row>
    <row r="896" customHeight="1" spans="5:5">
      <c r="E896" s="33"/>
    </row>
    <row r="897" customHeight="1" spans="5:5">
      <c r="E897" s="33"/>
    </row>
    <row r="898" customHeight="1" spans="5:5">
      <c r="E898" s="33"/>
    </row>
    <row r="899" customHeight="1" spans="5:5">
      <c r="E899" s="33"/>
    </row>
    <row r="900" customHeight="1" spans="5:5">
      <c r="E900" s="33"/>
    </row>
    <row r="901" customHeight="1" spans="5:5">
      <c r="E901" s="33"/>
    </row>
    <row r="902" customHeight="1" spans="5:5">
      <c r="E902" s="33"/>
    </row>
    <row r="903" customHeight="1" spans="5:5">
      <c r="E903" s="33"/>
    </row>
    <row r="904" customHeight="1" spans="5:5">
      <c r="E904" s="33"/>
    </row>
    <row r="905" customHeight="1" spans="5:5">
      <c r="E905" s="33"/>
    </row>
    <row r="906" customHeight="1" spans="5:5">
      <c r="E906" s="33"/>
    </row>
    <row r="907" customHeight="1" spans="5:5">
      <c r="E907" s="33"/>
    </row>
    <row r="908" customHeight="1" spans="5:5">
      <c r="E908" s="33"/>
    </row>
    <row r="909" customHeight="1" spans="5:5">
      <c r="E909" s="33"/>
    </row>
    <row r="910" customHeight="1" spans="5:5">
      <c r="E910" s="33"/>
    </row>
    <row r="911" customHeight="1" spans="5:5">
      <c r="E911" s="33"/>
    </row>
    <row r="912" customHeight="1" spans="5:5">
      <c r="E912" s="33"/>
    </row>
    <row r="913" customHeight="1" spans="5:5">
      <c r="E913" s="33"/>
    </row>
    <row r="914" customHeight="1" spans="5:5">
      <c r="E914" s="33"/>
    </row>
    <row r="915" customHeight="1" spans="5:5">
      <c r="E915" s="33"/>
    </row>
    <row r="916" customHeight="1" spans="5:5">
      <c r="E916" s="33"/>
    </row>
    <row r="917" customHeight="1" spans="5:5">
      <c r="E917" s="33"/>
    </row>
    <row r="918" customHeight="1" spans="5:5">
      <c r="E918" s="33"/>
    </row>
    <row r="919" customHeight="1" spans="5:5">
      <c r="E919" s="33"/>
    </row>
    <row r="920" customHeight="1" spans="5:5">
      <c r="E920" s="33"/>
    </row>
    <row r="921" customHeight="1" spans="5:5">
      <c r="E921" s="33"/>
    </row>
    <row r="922" customHeight="1" spans="5:5">
      <c r="E922" s="33"/>
    </row>
    <row r="923" customHeight="1" spans="5:5">
      <c r="E923" s="33"/>
    </row>
    <row r="924" customHeight="1" spans="5:5">
      <c r="E924" s="33"/>
    </row>
    <row r="925" customHeight="1" spans="5:5">
      <c r="E925" s="33"/>
    </row>
    <row r="926" customHeight="1" spans="5:5">
      <c r="E926" s="33"/>
    </row>
    <row r="927" customHeight="1" spans="5:5">
      <c r="E927" s="33"/>
    </row>
    <row r="928" customHeight="1" spans="5:5">
      <c r="E928" s="33"/>
    </row>
    <row r="929" customHeight="1" spans="5:5">
      <c r="E929" s="33"/>
    </row>
    <row r="930" customHeight="1" spans="5:5">
      <c r="E930" s="33"/>
    </row>
    <row r="931" customHeight="1" spans="5:5">
      <c r="E931" s="33"/>
    </row>
    <row r="932" customHeight="1" spans="5:5">
      <c r="E932" s="33"/>
    </row>
    <row r="933" customHeight="1" spans="5:5">
      <c r="E933" s="33"/>
    </row>
    <row r="934" customHeight="1" spans="5:5">
      <c r="E934" s="33"/>
    </row>
    <row r="935" customHeight="1" spans="5:5">
      <c r="E935" s="33"/>
    </row>
    <row r="936" customHeight="1" spans="5:5">
      <c r="E936" s="33"/>
    </row>
    <row r="937" customHeight="1" spans="5:5">
      <c r="E937" s="33"/>
    </row>
    <row r="938" customHeight="1" spans="5:5">
      <c r="E938" s="33"/>
    </row>
    <row r="939" customHeight="1" spans="5:5">
      <c r="E939" s="33"/>
    </row>
    <row r="940" customHeight="1" spans="5:5">
      <c r="E940" s="33"/>
    </row>
    <row r="941" customHeight="1" spans="5:5">
      <c r="E941" s="33"/>
    </row>
    <row r="942" customHeight="1" spans="5:5">
      <c r="E942" s="33"/>
    </row>
    <row r="943" customHeight="1" spans="5:5">
      <c r="E943" s="33"/>
    </row>
    <row r="944" customHeight="1" spans="5:5">
      <c r="E944" s="33"/>
    </row>
    <row r="945" customHeight="1" spans="5:5">
      <c r="E945" s="33"/>
    </row>
    <row r="946" customHeight="1" spans="5:5">
      <c r="E946" s="33"/>
    </row>
    <row r="947" customHeight="1" spans="5:5">
      <c r="E947" s="33"/>
    </row>
    <row r="948" customHeight="1" spans="5:5">
      <c r="E948" s="33"/>
    </row>
    <row r="949" customHeight="1" spans="5:5">
      <c r="E949" s="33"/>
    </row>
    <row r="950" customHeight="1" spans="5:5">
      <c r="E950" s="33"/>
    </row>
    <row r="951" customHeight="1" spans="5:5">
      <c r="E951" s="33"/>
    </row>
    <row r="952" customHeight="1" spans="5:5">
      <c r="E952" s="33"/>
    </row>
    <row r="953" customHeight="1" spans="5:5">
      <c r="E953" s="33"/>
    </row>
    <row r="954" customHeight="1" spans="5:5">
      <c r="E954" s="33"/>
    </row>
    <row r="955" customHeight="1" spans="5:5">
      <c r="E955" s="33"/>
    </row>
    <row r="956" customHeight="1" spans="5:5">
      <c r="E956" s="33"/>
    </row>
    <row r="957" customHeight="1" spans="5:5">
      <c r="E957" s="33"/>
    </row>
    <row r="958" customHeight="1" spans="5:5">
      <c r="E958" s="33"/>
    </row>
    <row r="959" customHeight="1" spans="5:5">
      <c r="E959" s="33"/>
    </row>
    <row r="960" customHeight="1" spans="5:5">
      <c r="E960" s="33"/>
    </row>
    <row r="961" customHeight="1" spans="5:5">
      <c r="E961" s="33"/>
    </row>
    <row r="962" customHeight="1" spans="5:5">
      <c r="E962" s="33"/>
    </row>
    <row r="963" customHeight="1" spans="5:5">
      <c r="E963" s="33"/>
    </row>
    <row r="964" customHeight="1" spans="5:5">
      <c r="E964" s="33"/>
    </row>
    <row r="965" customHeight="1" spans="5:5">
      <c r="E965" s="33"/>
    </row>
    <row r="966" customHeight="1" spans="5:5">
      <c r="E966" s="33"/>
    </row>
    <row r="967" customHeight="1" spans="5:5">
      <c r="E967" s="33"/>
    </row>
    <row r="968" customHeight="1" spans="5:5">
      <c r="E968" s="33"/>
    </row>
    <row r="969" customHeight="1" spans="5:5">
      <c r="E969" s="33"/>
    </row>
    <row r="970" customHeight="1" spans="5:5">
      <c r="E970" s="33"/>
    </row>
    <row r="971" customHeight="1" spans="5:5">
      <c r="E971" s="33"/>
    </row>
    <row r="972" customHeight="1" spans="5:5">
      <c r="E972" s="33"/>
    </row>
    <row r="973" customHeight="1" spans="5:5">
      <c r="E973" s="33"/>
    </row>
    <row r="974" customHeight="1" spans="5:5">
      <c r="E974" s="33"/>
    </row>
    <row r="975" customHeight="1" spans="5:5">
      <c r="E975" s="33"/>
    </row>
    <row r="976" customHeight="1" spans="5:5">
      <c r="E976" s="33"/>
    </row>
    <row r="977" customHeight="1" spans="5:5">
      <c r="E977" s="33"/>
    </row>
    <row r="978" customHeight="1" spans="5:5">
      <c r="E978" s="33"/>
    </row>
    <row r="979" customHeight="1" spans="5:5">
      <c r="E979" s="33"/>
    </row>
    <row r="980" customHeight="1" spans="5:5">
      <c r="E980" s="33"/>
    </row>
    <row r="981" customHeight="1" spans="5:5">
      <c r="E981" s="33"/>
    </row>
    <row r="982" customHeight="1" spans="5:5">
      <c r="E982" s="33"/>
    </row>
    <row r="983" customHeight="1" spans="5:5">
      <c r="E983" s="33"/>
    </row>
    <row r="984" customHeight="1" spans="5:5">
      <c r="E984" s="33"/>
    </row>
    <row r="985" customHeight="1" spans="5:5">
      <c r="E985" s="33"/>
    </row>
    <row r="986" customHeight="1" spans="5:5">
      <c r="E986" s="33"/>
    </row>
    <row r="987" customHeight="1" spans="5:5">
      <c r="E987" s="33"/>
    </row>
    <row r="988" customHeight="1" spans="5:5">
      <c r="E988" s="33"/>
    </row>
    <row r="989" customHeight="1" spans="5:5">
      <c r="E989" s="33"/>
    </row>
    <row r="990" customHeight="1" spans="5:5">
      <c r="E990" s="33"/>
    </row>
    <row r="991" customHeight="1" spans="5:5">
      <c r="E991" s="33"/>
    </row>
    <row r="992" customHeight="1" spans="5:5">
      <c r="E992" s="33"/>
    </row>
    <row r="993" customHeight="1" spans="5:5">
      <c r="E993" s="33"/>
    </row>
    <row r="994" customHeight="1" spans="5:5">
      <c r="E994" s="33"/>
    </row>
    <row r="995" customHeight="1" spans="5:5">
      <c r="E995" s="33"/>
    </row>
    <row r="996" customHeight="1" spans="5:5">
      <c r="E996" s="33"/>
    </row>
    <row r="997" customHeight="1" spans="5:5">
      <c r="E997" s="33"/>
    </row>
    <row r="998" customHeight="1" spans="5:5">
      <c r="E998" s="33"/>
    </row>
    <row r="999" customHeight="1" spans="5:5">
      <c r="E999" s="33"/>
    </row>
    <row r="1000" customHeight="1" spans="5:5">
      <c r="E1000" s="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8"/>
  <sheetViews>
    <sheetView workbookViewId="0">
      <selection activeCell="B28" sqref="B28"/>
    </sheetView>
  </sheetViews>
  <sheetFormatPr defaultColWidth="12.6285714285714" defaultRowHeight="15.75" customHeight="1" outlineLevelCol="5"/>
  <cols>
    <col min="1" max="1" width="13" customWidth="1"/>
    <col min="2" max="2" width="179.504761904762" customWidth="1"/>
    <col min="3" max="3" width="26.1333333333333" customWidth="1"/>
    <col min="4" max="4" width="9" customWidth="1"/>
    <col min="5" max="5" width="11.752380952381" customWidth="1"/>
    <col min="6" max="6" width="18.5047619047619" customWidth="1"/>
  </cols>
  <sheetData>
    <row r="1" customHeight="1" spans="1:6">
      <c r="A1" s="2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25</v>
      </c>
    </row>
    <row r="2" customHeight="1" spans="1:6">
      <c r="A2" s="24" t="s">
        <v>26</v>
      </c>
      <c r="B2" s="5" t="s">
        <v>27</v>
      </c>
      <c r="C2" s="6" t="s">
        <v>28</v>
      </c>
      <c r="D2" s="7">
        <v>4</v>
      </c>
      <c r="E2" s="7">
        <v>4</v>
      </c>
      <c r="F2" s="7">
        <v>16</v>
      </c>
    </row>
    <row r="3" customHeight="1" spans="1:6">
      <c r="A3" s="24" t="s">
        <v>26</v>
      </c>
      <c r="B3" s="5" t="s">
        <v>29</v>
      </c>
      <c r="C3" s="6" t="s">
        <v>30</v>
      </c>
      <c r="D3" s="7">
        <v>4</v>
      </c>
      <c r="E3" s="8">
        <v>45751</v>
      </c>
      <c r="F3" s="8">
        <v>45825</v>
      </c>
    </row>
    <row r="4" customHeight="1" spans="1:6">
      <c r="A4" s="24" t="s">
        <v>26</v>
      </c>
      <c r="B4" s="5" t="s">
        <v>29</v>
      </c>
      <c r="C4" s="6" t="s">
        <v>31</v>
      </c>
      <c r="D4" s="7">
        <v>4</v>
      </c>
      <c r="E4" s="8">
        <v>45781</v>
      </c>
      <c r="F4" s="7">
        <v>18</v>
      </c>
    </row>
    <row r="5" customHeight="1" spans="1:6">
      <c r="A5" s="24" t="s">
        <v>26</v>
      </c>
      <c r="B5" s="5" t="s">
        <v>32</v>
      </c>
      <c r="C5" s="6" t="s">
        <v>33</v>
      </c>
      <c r="D5" s="7">
        <v>6</v>
      </c>
      <c r="E5" s="8">
        <v>45717</v>
      </c>
      <c r="F5" s="8">
        <v>45876</v>
      </c>
    </row>
    <row r="6" customHeight="1" spans="1:6">
      <c r="A6" s="24" t="s">
        <v>26</v>
      </c>
      <c r="B6" s="5" t="s">
        <v>32</v>
      </c>
      <c r="C6" s="6" t="s">
        <v>34</v>
      </c>
      <c r="D6" s="7">
        <v>12</v>
      </c>
      <c r="E6" s="7">
        <v>9</v>
      </c>
      <c r="F6" s="7">
        <v>108</v>
      </c>
    </row>
    <row r="7" customHeight="1" spans="1:6">
      <c r="A7" s="24" t="s">
        <v>26</v>
      </c>
      <c r="B7" s="5" t="s">
        <v>35</v>
      </c>
      <c r="C7" s="6" t="s">
        <v>36</v>
      </c>
      <c r="D7" s="7">
        <v>6</v>
      </c>
      <c r="E7" s="8">
        <v>45717</v>
      </c>
      <c r="F7" s="8">
        <v>45876</v>
      </c>
    </row>
    <row r="8" customHeight="1" spans="1:6">
      <c r="A8" s="24" t="s">
        <v>26</v>
      </c>
      <c r="B8" s="5" t="s">
        <v>35</v>
      </c>
      <c r="C8" s="6" t="s">
        <v>37</v>
      </c>
      <c r="D8" s="7">
        <v>6</v>
      </c>
      <c r="E8" s="8">
        <v>45778</v>
      </c>
      <c r="F8" s="7">
        <v>9</v>
      </c>
    </row>
    <row r="9" customHeight="1" spans="1:6">
      <c r="A9" s="24" t="s">
        <v>26</v>
      </c>
      <c r="B9" s="5" t="s">
        <v>38</v>
      </c>
      <c r="C9" s="6" t="s">
        <v>39</v>
      </c>
      <c r="D9" s="7">
        <v>6</v>
      </c>
      <c r="E9" s="7">
        <v>1</v>
      </c>
      <c r="F9" s="7">
        <v>6</v>
      </c>
    </row>
    <row r="10" customHeight="1" spans="1:6">
      <c r="A10" s="24" t="s">
        <v>26</v>
      </c>
      <c r="B10" s="5" t="s">
        <v>38</v>
      </c>
      <c r="C10" s="6" t="s">
        <v>40</v>
      </c>
      <c r="D10" s="7">
        <v>6</v>
      </c>
      <c r="E10" s="8">
        <v>45748</v>
      </c>
      <c r="F10" s="8">
        <v>45755</v>
      </c>
    </row>
    <row r="11" customHeight="1" spans="1:6">
      <c r="A11" s="24" t="s">
        <v>26</v>
      </c>
      <c r="B11" s="5" t="s">
        <v>41</v>
      </c>
      <c r="C11" s="6" t="s">
        <v>42</v>
      </c>
      <c r="D11" s="7">
        <v>6</v>
      </c>
      <c r="E11" s="8">
        <v>45871</v>
      </c>
      <c r="F11" s="8">
        <v>45885</v>
      </c>
    </row>
    <row r="12" customHeight="1" spans="1:6">
      <c r="A12" s="24" t="s">
        <v>26</v>
      </c>
      <c r="B12" s="5" t="s">
        <v>43</v>
      </c>
      <c r="C12" s="6" t="s">
        <v>44</v>
      </c>
      <c r="D12" s="7">
        <v>6</v>
      </c>
      <c r="E12" s="7">
        <v>2</v>
      </c>
      <c r="F12" s="7">
        <v>12</v>
      </c>
    </row>
    <row r="13" customHeight="1" spans="1:6">
      <c r="A13" s="24" t="s">
        <v>26</v>
      </c>
      <c r="B13" s="5" t="s">
        <v>43</v>
      </c>
      <c r="C13" s="6" t="s">
        <v>45</v>
      </c>
      <c r="D13" s="7">
        <v>6</v>
      </c>
      <c r="E13" s="8">
        <v>45902</v>
      </c>
      <c r="F13" s="8">
        <v>45764</v>
      </c>
    </row>
    <row r="14" customHeight="1" spans="1:6">
      <c r="A14" s="24" t="s">
        <v>26</v>
      </c>
      <c r="B14" s="5" t="s">
        <v>46</v>
      </c>
      <c r="C14" s="6" t="s">
        <v>47</v>
      </c>
      <c r="D14" s="7">
        <v>6</v>
      </c>
      <c r="E14" s="8">
        <v>45691</v>
      </c>
      <c r="F14" s="8">
        <v>45707</v>
      </c>
    </row>
    <row r="15" customHeight="1" spans="1:6">
      <c r="A15" s="24" t="s">
        <v>26</v>
      </c>
      <c r="B15" s="5" t="s">
        <v>48</v>
      </c>
      <c r="C15" s="6" t="s">
        <v>49</v>
      </c>
      <c r="D15" s="7">
        <v>6</v>
      </c>
      <c r="E15" s="8">
        <v>45780</v>
      </c>
      <c r="F15" s="7">
        <v>21</v>
      </c>
    </row>
    <row r="16" customHeight="1" spans="1:6">
      <c r="A16" s="24" t="s">
        <v>26</v>
      </c>
      <c r="B16" s="5" t="s">
        <v>48</v>
      </c>
      <c r="C16" s="6" t="s">
        <v>50</v>
      </c>
      <c r="D16" s="7">
        <v>6</v>
      </c>
      <c r="E16" s="8">
        <v>45691</v>
      </c>
      <c r="F16" s="8">
        <v>45707</v>
      </c>
    </row>
    <row r="17" customHeight="1" spans="1:6">
      <c r="A17" s="24" t="s">
        <v>26</v>
      </c>
      <c r="B17" s="5" t="s">
        <v>51</v>
      </c>
      <c r="C17" s="6" t="s">
        <v>52</v>
      </c>
      <c r="D17" s="7">
        <v>6</v>
      </c>
      <c r="E17" s="7">
        <v>4</v>
      </c>
      <c r="F17" s="7">
        <v>24</v>
      </c>
    </row>
    <row r="18" customHeight="1" spans="1:6">
      <c r="A18" s="24" t="s">
        <v>26</v>
      </c>
      <c r="B18" s="5" t="s">
        <v>53</v>
      </c>
      <c r="C18" s="6" t="s">
        <v>54</v>
      </c>
      <c r="D18" s="7">
        <v>6</v>
      </c>
      <c r="E18" s="7">
        <v>4</v>
      </c>
      <c r="F18" s="7">
        <v>24</v>
      </c>
    </row>
    <row r="19" customHeight="1" spans="1:6">
      <c r="A19" s="24" t="s">
        <v>26</v>
      </c>
      <c r="B19" s="5" t="s">
        <v>55</v>
      </c>
      <c r="C19" s="6" t="s">
        <v>56</v>
      </c>
      <c r="D19" s="7">
        <v>6</v>
      </c>
      <c r="E19" s="8">
        <v>45781</v>
      </c>
      <c r="F19" s="7">
        <v>27</v>
      </c>
    </row>
    <row r="20" customHeight="1" spans="1:6">
      <c r="A20" s="24" t="s">
        <v>26</v>
      </c>
      <c r="B20" s="5" t="s">
        <v>53</v>
      </c>
      <c r="C20" s="6" t="s">
        <v>57</v>
      </c>
      <c r="D20" s="7">
        <v>6</v>
      </c>
      <c r="E20" s="7">
        <v>5</v>
      </c>
      <c r="F20" s="7">
        <v>30</v>
      </c>
    </row>
    <row r="21" customHeight="1" spans="1:6">
      <c r="A21" s="24" t="s">
        <v>26</v>
      </c>
      <c r="B21" s="5" t="s">
        <v>55</v>
      </c>
      <c r="C21" s="6" t="s">
        <v>58</v>
      </c>
      <c r="D21" s="7">
        <v>6</v>
      </c>
      <c r="E21" s="7">
        <v>5</v>
      </c>
      <c r="F21" s="7">
        <v>30</v>
      </c>
    </row>
    <row r="22" customHeight="1" spans="1:6">
      <c r="A22" s="24" t="s">
        <v>26</v>
      </c>
      <c r="B22" s="5" t="s">
        <v>59</v>
      </c>
      <c r="C22" s="6" t="s">
        <v>60</v>
      </c>
      <c r="D22" s="7">
        <v>6</v>
      </c>
      <c r="E22" s="8">
        <v>45782</v>
      </c>
      <c r="F22" s="7">
        <v>33</v>
      </c>
    </row>
    <row r="23" customHeight="1" spans="1:6">
      <c r="A23" s="24" t="s">
        <v>26</v>
      </c>
      <c r="B23" s="5" t="s">
        <v>61</v>
      </c>
      <c r="C23" s="6" t="s">
        <v>62</v>
      </c>
      <c r="D23" s="7">
        <v>6</v>
      </c>
      <c r="E23" s="7">
        <v>7</v>
      </c>
      <c r="F23" s="7">
        <v>42</v>
      </c>
    </row>
    <row r="24" customHeight="1" spans="1:6">
      <c r="A24" s="24" t="s">
        <v>26</v>
      </c>
      <c r="B24" s="5" t="s">
        <v>63</v>
      </c>
      <c r="C24" s="6" t="s">
        <v>64</v>
      </c>
      <c r="D24" s="7">
        <v>6</v>
      </c>
      <c r="E24" s="7">
        <v>7</v>
      </c>
      <c r="F24" s="7">
        <v>42</v>
      </c>
    </row>
    <row r="25" customHeight="1" spans="1:6">
      <c r="A25" s="24" t="s">
        <v>26</v>
      </c>
      <c r="B25" s="9" t="s">
        <v>65</v>
      </c>
      <c r="C25" s="6" t="s">
        <v>66</v>
      </c>
      <c r="D25" s="7">
        <v>6</v>
      </c>
      <c r="E25" s="7">
        <v>7</v>
      </c>
      <c r="F25" s="7">
        <v>42</v>
      </c>
    </row>
    <row r="26" customHeight="1" spans="1:6">
      <c r="A26" s="24" t="s">
        <v>26</v>
      </c>
      <c r="B26" s="5" t="s">
        <v>63</v>
      </c>
      <c r="C26" s="6" t="s">
        <v>67</v>
      </c>
      <c r="D26" s="7">
        <v>6</v>
      </c>
      <c r="E26" s="7">
        <v>8</v>
      </c>
      <c r="F26" s="7">
        <v>48</v>
      </c>
    </row>
    <row r="27" customHeight="1" spans="1:6">
      <c r="A27" s="24" t="s">
        <v>26</v>
      </c>
      <c r="B27" s="9" t="s">
        <v>65</v>
      </c>
      <c r="C27" s="6" t="s">
        <v>68</v>
      </c>
      <c r="D27" s="7">
        <v>6</v>
      </c>
      <c r="E27" s="8">
        <v>45785</v>
      </c>
      <c r="F27" s="7">
        <v>51</v>
      </c>
    </row>
    <row r="28" customHeight="1" spans="1:6">
      <c r="A28" s="24" t="s">
        <v>26</v>
      </c>
      <c r="B28" s="5" t="s">
        <v>69</v>
      </c>
      <c r="C28" s="6" t="s">
        <v>70</v>
      </c>
      <c r="D28" s="7">
        <v>6</v>
      </c>
      <c r="E28" s="7">
        <v>10</v>
      </c>
      <c r="F28" s="7">
        <v>60</v>
      </c>
    </row>
    <row r="29" customHeight="1" spans="1:6">
      <c r="A29" s="24" t="s">
        <v>26</v>
      </c>
      <c r="B29" s="5" t="s">
        <v>69</v>
      </c>
      <c r="C29" s="6" t="s">
        <v>71</v>
      </c>
      <c r="D29" s="7">
        <v>6</v>
      </c>
      <c r="E29" s="7">
        <v>12</v>
      </c>
      <c r="F29" s="7">
        <v>72</v>
      </c>
    </row>
    <row r="30" customHeight="1" spans="1:6">
      <c r="A30" s="24" t="s">
        <v>26</v>
      </c>
      <c r="B30" s="5" t="s">
        <v>69</v>
      </c>
      <c r="C30" s="6" t="s">
        <v>72</v>
      </c>
      <c r="D30" s="7">
        <v>6</v>
      </c>
      <c r="E30" s="7">
        <v>12</v>
      </c>
      <c r="F30" s="7">
        <v>72</v>
      </c>
    </row>
    <row r="31" customHeight="1" spans="1:6">
      <c r="A31" s="24" t="s">
        <v>26</v>
      </c>
      <c r="B31" s="5" t="s">
        <v>73</v>
      </c>
      <c r="C31" s="6" t="s">
        <v>74</v>
      </c>
      <c r="D31" s="7">
        <v>6</v>
      </c>
      <c r="E31" s="7">
        <v>12</v>
      </c>
      <c r="F31" s="7">
        <v>72</v>
      </c>
    </row>
    <row r="32" customHeight="1" spans="1:6">
      <c r="A32" s="24" t="s">
        <v>26</v>
      </c>
      <c r="B32" s="5" t="s">
        <v>75</v>
      </c>
      <c r="C32" s="6" t="s">
        <v>76</v>
      </c>
      <c r="D32" s="7">
        <v>6</v>
      </c>
      <c r="E32" s="7">
        <v>12</v>
      </c>
      <c r="F32" s="7">
        <v>72</v>
      </c>
    </row>
    <row r="33" customHeight="1" spans="1:6">
      <c r="A33" s="24" t="s">
        <v>26</v>
      </c>
      <c r="B33" s="5" t="s">
        <v>75</v>
      </c>
      <c r="C33" s="6" t="s">
        <v>77</v>
      </c>
      <c r="D33" s="7">
        <v>6</v>
      </c>
      <c r="E33" s="7">
        <v>12</v>
      </c>
      <c r="F33" s="7">
        <v>72</v>
      </c>
    </row>
    <row r="34" customHeight="1" spans="1:6">
      <c r="A34" s="24" t="s">
        <v>26</v>
      </c>
      <c r="B34" s="5" t="s">
        <v>75</v>
      </c>
      <c r="C34" s="6" t="s">
        <v>78</v>
      </c>
      <c r="D34" s="7">
        <v>6</v>
      </c>
      <c r="E34" s="7">
        <v>36</v>
      </c>
      <c r="F34" s="7">
        <v>216</v>
      </c>
    </row>
    <row r="35" customHeight="1" spans="1:6">
      <c r="A35" s="24" t="s">
        <v>26</v>
      </c>
      <c r="B35" s="5" t="s">
        <v>79</v>
      </c>
      <c r="C35" s="6" t="s">
        <v>80</v>
      </c>
      <c r="D35" s="7">
        <v>8</v>
      </c>
      <c r="E35" s="8">
        <v>45691</v>
      </c>
      <c r="F35" s="8">
        <v>45833</v>
      </c>
    </row>
    <row r="36" customHeight="1" spans="1:6">
      <c r="A36" s="24" t="s">
        <v>26</v>
      </c>
      <c r="B36" s="5" t="s">
        <v>81</v>
      </c>
      <c r="C36" s="6" t="s">
        <v>82</v>
      </c>
      <c r="D36" s="7">
        <v>12</v>
      </c>
      <c r="E36" s="7" t="s">
        <v>83</v>
      </c>
      <c r="F36" s="8">
        <v>45817</v>
      </c>
    </row>
    <row r="37" customHeight="1" spans="1:6">
      <c r="A37" s="24" t="s">
        <v>26</v>
      </c>
      <c r="B37" s="5" t="s">
        <v>84</v>
      </c>
      <c r="C37" s="6" t="s">
        <v>85</v>
      </c>
      <c r="D37" s="7">
        <v>12</v>
      </c>
      <c r="E37" s="8">
        <v>45689</v>
      </c>
      <c r="F37" s="8">
        <v>45761</v>
      </c>
    </row>
    <row r="38" customHeight="1" spans="1:6">
      <c r="A38" s="24" t="s">
        <v>26</v>
      </c>
      <c r="B38" s="5" t="s">
        <v>86</v>
      </c>
      <c r="C38" s="6" t="s">
        <v>87</v>
      </c>
      <c r="D38" s="7">
        <v>12</v>
      </c>
      <c r="E38" s="8">
        <v>45717</v>
      </c>
      <c r="F38" s="8">
        <v>45823</v>
      </c>
    </row>
    <row r="39" customHeight="1" spans="1:6">
      <c r="A39" s="24" t="s">
        <v>26</v>
      </c>
      <c r="B39" s="5" t="s">
        <v>88</v>
      </c>
      <c r="C39" s="6" t="s">
        <v>89</v>
      </c>
      <c r="D39" s="7">
        <v>12</v>
      </c>
      <c r="E39" s="8">
        <v>45748</v>
      </c>
      <c r="F39" s="8">
        <v>45885</v>
      </c>
    </row>
    <row r="40" customHeight="1" spans="1:6">
      <c r="A40" s="24" t="s">
        <v>26</v>
      </c>
      <c r="B40" s="5" t="s">
        <v>84</v>
      </c>
      <c r="C40" s="6" t="s">
        <v>90</v>
      </c>
      <c r="D40" s="7">
        <v>12</v>
      </c>
      <c r="E40" s="7">
        <v>2</v>
      </c>
      <c r="F40" s="7">
        <v>24</v>
      </c>
    </row>
    <row r="41" customHeight="1" spans="1:6">
      <c r="A41" s="24" t="s">
        <v>26</v>
      </c>
      <c r="B41" s="5" t="s">
        <v>84</v>
      </c>
      <c r="C41" s="6" t="s">
        <v>91</v>
      </c>
      <c r="D41" s="7">
        <v>12</v>
      </c>
      <c r="E41" s="8">
        <v>45718</v>
      </c>
      <c r="F41" s="8">
        <v>45835</v>
      </c>
    </row>
    <row r="42" customHeight="1" spans="1:6">
      <c r="A42" s="24" t="s">
        <v>26</v>
      </c>
      <c r="B42" s="5" t="s">
        <v>86</v>
      </c>
      <c r="C42" s="6" t="s">
        <v>92</v>
      </c>
      <c r="D42" s="7">
        <v>12</v>
      </c>
      <c r="E42" s="8">
        <v>45718</v>
      </c>
      <c r="F42" s="8">
        <v>45835</v>
      </c>
    </row>
    <row r="43" customHeight="1" spans="1:6">
      <c r="A43" s="24" t="s">
        <v>26</v>
      </c>
      <c r="B43" s="5" t="s">
        <v>86</v>
      </c>
      <c r="C43" s="6" t="s">
        <v>93</v>
      </c>
      <c r="D43" s="7">
        <v>12</v>
      </c>
      <c r="E43" s="8">
        <v>45810</v>
      </c>
      <c r="F43" s="7" t="s">
        <v>94</v>
      </c>
    </row>
    <row r="44" customHeight="1" spans="1:6">
      <c r="A44" s="24" t="s">
        <v>26</v>
      </c>
      <c r="B44" s="5" t="s">
        <v>95</v>
      </c>
      <c r="C44" s="6" t="s">
        <v>96</v>
      </c>
      <c r="D44" s="7">
        <v>12</v>
      </c>
      <c r="E44" s="8">
        <v>45779</v>
      </c>
      <c r="F44" s="7">
        <v>30</v>
      </c>
    </row>
    <row r="45" customHeight="1" spans="1:6">
      <c r="A45" s="24" t="s">
        <v>26</v>
      </c>
      <c r="B45" s="5" t="s">
        <v>95</v>
      </c>
      <c r="C45" s="6" t="s">
        <v>97</v>
      </c>
      <c r="D45" s="7">
        <v>12</v>
      </c>
      <c r="E45" s="7">
        <v>2</v>
      </c>
      <c r="F45" s="7">
        <v>24</v>
      </c>
    </row>
    <row r="46" customHeight="1" spans="1:6">
      <c r="A46" s="24" t="s">
        <v>26</v>
      </c>
      <c r="B46" s="5" t="s">
        <v>95</v>
      </c>
      <c r="C46" s="6" t="s">
        <v>98</v>
      </c>
      <c r="D46" s="7">
        <v>12</v>
      </c>
      <c r="E46" s="8">
        <v>45659</v>
      </c>
      <c r="F46" s="8">
        <v>45713</v>
      </c>
    </row>
    <row r="47" customHeight="1" spans="1:6">
      <c r="A47" s="24" t="s">
        <v>26</v>
      </c>
      <c r="B47" s="5" t="s">
        <v>95</v>
      </c>
      <c r="C47" s="6" t="s">
        <v>99</v>
      </c>
      <c r="D47" s="7">
        <v>12</v>
      </c>
      <c r="E47" s="8">
        <v>45902</v>
      </c>
      <c r="F47" s="7" t="s">
        <v>100</v>
      </c>
    </row>
    <row r="48" customHeight="1" spans="1:6">
      <c r="A48" s="24" t="s">
        <v>26</v>
      </c>
      <c r="B48" s="5" t="s">
        <v>95</v>
      </c>
      <c r="C48" s="6" t="s">
        <v>101</v>
      </c>
      <c r="D48" s="7">
        <v>12</v>
      </c>
      <c r="E48" s="8">
        <v>45871</v>
      </c>
      <c r="F48" s="7" t="s">
        <v>102</v>
      </c>
    </row>
    <row r="49" customHeight="1" spans="1:6">
      <c r="A49" s="24" t="s">
        <v>26</v>
      </c>
      <c r="B49" s="5" t="s">
        <v>95</v>
      </c>
      <c r="C49" s="6" t="s">
        <v>103</v>
      </c>
      <c r="D49" s="7">
        <v>12</v>
      </c>
      <c r="E49" s="8">
        <v>45902</v>
      </c>
      <c r="F49" s="7" t="s">
        <v>100</v>
      </c>
    </row>
    <row r="50" customHeight="1" spans="1:6">
      <c r="A50" s="24" t="s">
        <v>26</v>
      </c>
      <c r="B50" s="5" t="s">
        <v>104</v>
      </c>
      <c r="C50" s="6" t="s">
        <v>105</v>
      </c>
      <c r="D50" s="7">
        <v>12</v>
      </c>
      <c r="E50" s="8">
        <v>45750</v>
      </c>
      <c r="F50" s="7" t="s">
        <v>106</v>
      </c>
    </row>
    <row r="51" customHeight="1" spans="1:6">
      <c r="A51" s="24" t="s">
        <v>26</v>
      </c>
      <c r="B51" s="5" t="s">
        <v>107</v>
      </c>
      <c r="C51" s="6" t="s">
        <v>108</v>
      </c>
      <c r="D51" s="7">
        <v>12</v>
      </c>
      <c r="E51" s="8">
        <v>45750</v>
      </c>
      <c r="F51" s="7" t="s">
        <v>106</v>
      </c>
    </row>
    <row r="52" customHeight="1" spans="1:6">
      <c r="A52" s="24" t="s">
        <v>26</v>
      </c>
      <c r="B52" s="5" t="s">
        <v>107</v>
      </c>
      <c r="C52" s="6" t="s">
        <v>109</v>
      </c>
      <c r="D52" s="7">
        <v>12</v>
      </c>
      <c r="E52" s="8">
        <v>45872</v>
      </c>
      <c r="F52" s="7" t="s">
        <v>110</v>
      </c>
    </row>
    <row r="53" customHeight="1" spans="1:6">
      <c r="A53" s="24" t="s">
        <v>26</v>
      </c>
      <c r="B53" s="5" t="s">
        <v>111</v>
      </c>
      <c r="C53" s="6" t="s">
        <v>112</v>
      </c>
      <c r="D53" s="7">
        <v>12</v>
      </c>
      <c r="E53" s="8">
        <v>45781</v>
      </c>
      <c r="F53" s="7">
        <v>54</v>
      </c>
    </row>
    <row r="54" customHeight="1" spans="1:6">
      <c r="A54" s="24" t="s">
        <v>26</v>
      </c>
      <c r="B54" s="5" t="s">
        <v>86</v>
      </c>
      <c r="C54" s="6" t="s">
        <v>113</v>
      </c>
      <c r="D54" s="7">
        <v>12</v>
      </c>
      <c r="E54" s="7">
        <v>4</v>
      </c>
      <c r="F54" s="7">
        <v>48</v>
      </c>
    </row>
    <row r="55" customHeight="1" spans="1:6">
      <c r="A55" s="24" t="s">
        <v>26</v>
      </c>
      <c r="B55" s="5" t="s">
        <v>114</v>
      </c>
      <c r="C55" s="6" t="s">
        <v>115</v>
      </c>
      <c r="D55" s="7">
        <v>12</v>
      </c>
      <c r="E55" s="7">
        <v>5</v>
      </c>
      <c r="F55" s="7">
        <v>60</v>
      </c>
    </row>
    <row r="56" customHeight="1" spans="1:6">
      <c r="A56" s="24" t="s">
        <v>26</v>
      </c>
      <c r="B56" s="5" t="s">
        <v>114</v>
      </c>
      <c r="C56" s="6" t="s">
        <v>116</v>
      </c>
      <c r="D56" s="7">
        <v>12</v>
      </c>
      <c r="E56" s="7">
        <v>5</v>
      </c>
      <c r="F56" s="7">
        <v>60</v>
      </c>
    </row>
    <row r="57" customHeight="1" spans="1:6">
      <c r="A57" s="24" t="s">
        <v>26</v>
      </c>
      <c r="B57" s="5" t="s">
        <v>86</v>
      </c>
      <c r="C57" s="6" t="s">
        <v>117</v>
      </c>
      <c r="D57" s="7">
        <v>12</v>
      </c>
      <c r="E57" s="7">
        <v>5</v>
      </c>
      <c r="F57" s="7">
        <v>60</v>
      </c>
    </row>
    <row r="58" customHeight="1" spans="1:6">
      <c r="A58" s="24" t="s">
        <v>26</v>
      </c>
      <c r="B58" s="5" t="s">
        <v>86</v>
      </c>
      <c r="C58" s="6" t="s">
        <v>118</v>
      </c>
      <c r="D58" s="7">
        <v>12</v>
      </c>
      <c r="E58" s="8">
        <v>45782</v>
      </c>
      <c r="F58" s="7">
        <v>66</v>
      </c>
    </row>
    <row r="59" customHeight="1" spans="1:6">
      <c r="A59" s="24" t="s">
        <v>26</v>
      </c>
      <c r="B59" s="5" t="s">
        <v>95</v>
      </c>
      <c r="C59" s="6" t="s">
        <v>119</v>
      </c>
      <c r="D59" s="7">
        <v>12</v>
      </c>
      <c r="E59" s="7">
        <v>5</v>
      </c>
      <c r="F59" s="7">
        <v>60</v>
      </c>
    </row>
    <row r="60" customHeight="1" spans="1:6">
      <c r="A60" s="24" t="s">
        <v>26</v>
      </c>
      <c r="B60" s="5" t="s">
        <v>95</v>
      </c>
      <c r="C60" s="6" t="s">
        <v>120</v>
      </c>
      <c r="D60" s="7">
        <v>12</v>
      </c>
      <c r="E60" s="7">
        <v>5</v>
      </c>
      <c r="F60" s="7">
        <v>60</v>
      </c>
    </row>
    <row r="61" customHeight="1" spans="1:6">
      <c r="A61" s="24" t="s">
        <v>26</v>
      </c>
      <c r="B61" s="5" t="s">
        <v>114</v>
      </c>
      <c r="C61" s="6" t="s">
        <v>121</v>
      </c>
      <c r="D61" s="7">
        <v>12</v>
      </c>
      <c r="E61" s="7">
        <v>7</v>
      </c>
      <c r="F61" s="7">
        <v>84</v>
      </c>
    </row>
    <row r="62" customHeight="1" spans="1:6">
      <c r="A62" s="24" t="s">
        <v>26</v>
      </c>
      <c r="B62" s="5" t="s">
        <v>114</v>
      </c>
      <c r="C62" s="6" t="s">
        <v>122</v>
      </c>
      <c r="D62" s="7">
        <v>12</v>
      </c>
      <c r="E62" s="7">
        <v>7</v>
      </c>
      <c r="F62" s="7">
        <v>84</v>
      </c>
    </row>
    <row r="63" customHeight="1" spans="1:6">
      <c r="A63" s="24" t="s">
        <v>26</v>
      </c>
      <c r="B63" s="5" t="s">
        <v>86</v>
      </c>
      <c r="C63" s="6" t="s">
        <v>123</v>
      </c>
      <c r="D63" s="7">
        <v>12</v>
      </c>
      <c r="E63" s="7">
        <v>7</v>
      </c>
      <c r="F63" s="7">
        <v>84</v>
      </c>
    </row>
    <row r="64" customHeight="1" spans="1:6">
      <c r="A64" s="24" t="s">
        <v>26</v>
      </c>
      <c r="B64" s="5" t="s">
        <v>95</v>
      </c>
      <c r="C64" s="6" t="s">
        <v>124</v>
      </c>
      <c r="D64" s="7">
        <v>12</v>
      </c>
      <c r="E64" s="7">
        <v>7</v>
      </c>
      <c r="F64" s="7">
        <v>84</v>
      </c>
    </row>
    <row r="65" customHeight="1" spans="1:6">
      <c r="A65" s="24" t="s">
        <v>26</v>
      </c>
      <c r="B65" s="5" t="s">
        <v>95</v>
      </c>
      <c r="C65" s="6" t="s">
        <v>125</v>
      </c>
      <c r="D65" s="7">
        <v>12</v>
      </c>
      <c r="E65" s="7">
        <v>7</v>
      </c>
      <c r="F65" s="7">
        <v>84</v>
      </c>
    </row>
    <row r="66" customHeight="1" spans="1:6">
      <c r="A66" s="24" t="s">
        <v>26</v>
      </c>
      <c r="B66" s="5" t="s">
        <v>95</v>
      </c>
      <c r="C66" s="6" t="s">
        <v>126</v>
      </c>
      <c r="D66" s="7">
        <v>12</v>
      </c>
      <c r="E66" s="7">
        <v>8</v>
      </c>
      <c r="F66" s="7">
        <v>96</v>
      </c>
    </row>
    <row r="67" customHeight="1" spans="1:6">
      <c r="A67" s="24" t="s">
        <v>26</v>
      </c>
      <c r="B67" s="5" t="s">
        <v>114</v>
      </c>
      <c r="C67" s="6" t="s">
        <v>127</v>
      </c>
      <c r="D67" s="7">
        <v>12</v>
      </c>
      <c r="E67" s="7">
        <v>9</v>
      </c>
      <c r="F67" s="7">
        <v>108</v>
      </c>
    </row>
    <row r="68" customHeight="1" spans="1:6">
      <c r="A68" s="24" t="s">
        <v>26</v>
      </c>
      <c r="B68" s="5" t="s">
        <v>86</v>
      </c>
      <c r="C68" s="6" t="s">
        <v>128</v>
      </c>
      <c r="D68" s="7">
        <v>12</v>
      </c>
      <c r="E68" s="7">
        <v>9</v>
      </c>
      <c r="F68" s="7">
        <v>108</v>
      </c>
    </row>
    <row r="69" customHeight="1" spans="1:6">
      <c r="A69" s="24" t="s">
        <v>26</v>
      </c>
      <c r="B69" s="5" t="s">
        <v>95</v>
      </c>
      <c r="C69" s="6" t="s">
        <v>129</v>
      </c>
      <c r="D69" s="7">
        <v>12</v>
      </c>
      <c r="E69" s="7">
        <v>9</v>
      </c>
      <c r="F69" s="7">
        <v>108</v>
      </c>
    </row>
    <row r="70" customHeight="1" spans="1:6">
      <c r="A70" s="24" t="s">
        <v>26</v>
      </c>
      <c r="B70" s="5" t="s">
        <v>86</v>
      </c>
      <c r="C70" s="6" t="s">
        <v>130</v>
      </c>
      <c r="D70" s="7">
        <v>12</v>
      </c>
      <c r="E70" s="7">
        <v>10</v>
      </c>
      <c r="F70" s="7">
        <v>120</v>
      </c>
    </row>
    <row r="71" customHeight="1" spans="1:6">
      <c r="A71" s="24" t="s">
        <v>26</v>
      </c>
      <c r="B71" s="5" t="s">
        <v>95</v>
      </c>
      <c r="C71" s="6" t="s">
        <v>131</v>
      </c>
      <c r="D71" s="7">
        <v>12</v>
      </c>
      <c r="E71" s="7">
        <v>10</v>
      </c>
      <c r="F71" s="7">
        <v>120</v>
      </c>
    </row>
    <row r="72" customHeight="1" spans="1:6">
      <c r="A72" s="24" t="s">
        <v>26</v>
      </c>
      <c r="B72" s="5" t="s">
        <v>114</v>
      </c>
      <c r="C72" s="6" t="s">
        <v>132</v>
      </c>
      <c r="D72" s="7">
        <v>12</v>
      </c>
      <c r="E72" s="7">
        <v>12</v>
      </c>
      <c r="F72" s="7">
        <v>144</v>
      </c>
    </row>
    <row r="73" customHeight="1" spans="1:6">
      <c r="A73" s="24" t="s">
        <v>26</v>
      </c>
      <c r="B73" s="5" t="s">
        <v>86</v>
      </c>
      <c r="C73" s="6" t="s">
        <v>133</v>
      </c>
      <c r="D73" s="7">
        <v>12</v>
      </c>
      <c r="E73" s="7">
        <v>12</v>
      </c>
      <c r="F73" s="7">
        <v>144</v>
      </c>
    </row>
    <row r="74" customHeight="1" spans="1:6">
      <c r="A74" s="24" t="s">
        <v>26</v>
      </c>
      <c r="B74" s="5" t="s">
        <v>95</v>
      </c>
      <c r="C74" s="6" t="s">
        <v>134</v>
      </c>
      <c r="D74" s="7">
        <v>12</v>
      </c>
      <c r="E74" s="7">
        <v>12</v>
      </c>
      <c r="F74" s="7">
        <v>144</v>
      </c>
    </row>
    <row r="75" customHeight="1" spans="1:6">
      <c r="A75" s="24" t="s">
        <v>26</v>
      </c>
      <c r="B75" s="5" t="s">
        <v>95</v>
      </c>
      <c r="C75" s="6" t="s">
        <v>135</v>
      </c>
      <c r="D75" s="7">
        <v>12</v>
      </c>
      <c r="E75" s="7">
        <v>14</v>
      </c>
      <c r="F75" s="7">
        <v>168</v>
      </c>
    </row>
    <row r="76" customHeight="1" spans="1:6">
      <c r="A76" s="24" t="s">
        <v>26</v>
      </c>
      <c r="B76" s="5" t="s">
        <v>86</v>
      </c>
      <c r="C76" s="6" t="s">
        <v>136</v>
      </c>
      <c r="D76" s="7">
        <v>12</v>
      </c>
      <c r="E76" s="7">
        <v>17</v>
      </c>
      <c r="F76" s="7">
        <v>204</v>
      </c>
    </row>
    <row r="77" customHeight="1" spans="1:6">
      <c r="A77" s="24" t="s">
        <v>26</v>
      </c>
      <c r="B77" s="5" t="s">
        <v>114</v>
      </c>
      <c r="C77" s="6" t="s">
        <v>137</v>
      </c>
      <c r="D77" s="7">
        <v>12</v>
      </c>
      <c r="E77" s="7">
        <v>18</v>
      </c>
      <c r="F77" s="7">
        <v>216</v>
      </c>
    </row>
    <row r="78" customHeight="1" spans="1:6">
      <c r="A78" s="24" t="s">
        <v>26</v>
      </c>
      <c r="B78" s="5" t="s">
        <v>86</v>
      </c>
      <c r="C78" s="6" t="s">
        <v>138</v>
      </c>
      <c r="D78" s="7">
        <v>12</v>
      </c>
      <c r="E78" s="7">
        <v>18</v>
      </c>
      <c r="F78" s="7">
        <v>216</v>
      </c>
    </row>
    <row r="79" customHeight="1" spans="1:6">
      <c r="A79" s="24" t="s">
        <v>26</v>
      </c>
      <c r="B79" s="5" t="s">
        <v>95</v>
      </c>
      <c r="C79" s="6" t="s">
        <v>139</v>
      </c>
      <c r="D79" s="7">
        <v>12</v>
      </c>
      <c r="E79" s="7">
        <v>18</v>
      </c>
      <c r="F79" s="7">
        <v>216</v>
      </c>
    </row>
    <row r="80" customHeight="1" spans="1:6">
      <c r="A80" s="24" t="s">
        <v>26</v>
      </c>
      <c r="B80" s="5" t="s">
        <v>95</v>
      </c>
      <c r="C80" s="6" t="s">
        <v>140</v>
      </c>
      <c r="D80" s="7">
        <v>12</v>
      </c>
      <c r="E80" s="7">
        <v>18</v>
      </c>
      <c r="F80" s="7">
        <v>216</v>
      </c>
    </row>
    <row r="81" customHeight="1" spans="1:6">
      <c r="A81" s="24" t="s">
        <v>26</v>
      </c>
      <c r="B81" s="5" t="s">
        <v>86</v>
      </c>
      <c r="C81" s="6" t="s">
        <v>141</v>
      </c>
      <c r="D81" s="7">
        <v>12</v>
      </c>
      <c r="E81" s="7">
        <v>20</v>
      </c>
      <c r="F81" s="7">
        <v>240</v>
      </c>
    </row>
    <row r="82" customHeight="1" spans="1:6">
      <c r="A82" s="24" t="s">
        <v>26</v>
      </c>
      <c r="B82" s="5" t="s">
        <v>95</v>
      </c>
      <c r="C82" s="6" t="s">
        <v>142</v>
      </c>
      <c r="D82" s="7">
        <v>12</v>
      </c>
      <c r="E82" s="7">
        <v>20</v>
      </c>
      <c r="F82" s="7">
        <v>240</v>
      </c>
    </row>
    <row r="83" customHeight="1" spans="1:6">
      <c r="A83" s="24" t="s">
        <v>26</v>
      </c>
      <c r="B83" s="5" t="s">
        <v>143</v>
      </c>
      <c r="C83" s="6" t="s">
        <v>144</v>
      </c>
      <c r="D83" s="7">
        <v>12</v>
      </c>
      <c r="E83" s="7">
        <v>21</v>
      </c>
      <c r="F83" s="7">
        <v>252</v>
      </c>
    </row>
    <row r="84" customHeight="1" spans="1:6">
      <c r="A84" s="24" t="s">
        <v>26</v>
      </c>
      <c r="B84" s="5" t="s">
        <v>114</v>
      </c>
      <c r="C84" s="6" t="s">
        <v>145</v>
      </c>
      <c r="D84" s="7">
        <v>12</v>
      </c>
      <c r="E84" s="7">
        <v>24</v>
      </c>
      <c r="F84" s="7">
        <v>288</v>
      </c>
    </row>
    <row r="85" customHeight="1" spans="1:6">
      <c r="A85" s="24" t="s">
        <v>26</v>
      </c>
      <c r="B85" s="5" t="s">
        <v>114</v>
      </c>
      <c r="C85" s="6" t="s">
        <v>146</v>
      </c>
      <c r="D85" s="7">
        <v>12</v>
      </c>
      <c r="E85" s="7">
        <v>24</v>
      </c>
      <c r="F85" s="7">
        <v>288</v>
      </c>
    </row>
    <row r="86" customHeight="1" spans="1:6">
      <c r="A86" s="24" t="s">
        <v>26</v>
      </c>
      <c r="B86" s="5" t="s">
        <v>86</v>
      </c>
      <c r="C86" s="6" t="s">
        <v>147</v>
      </c>
      <c r="D86" s="7">
        <v>12</v>
      </c>
      <c r="E86" s="7">
        <v>26</v>
      </c>
      <c r="F86" s="7">
        <v>312</v>
      </c>
    </row>
    <row r="87" customHeight="1" spans="1:6">
      <c r="A87" s="24" t="s">
        <v>26</v>
      </c>
      <c r="B87" s="5" t="s">
        <v>95</v>
      </c>
      <c r="C87" s="6" t="s">
        <v>148</v>
      </c>
      <c r="D87" s="7">
        <v>12</v>
      </c>
      <c r="E87" s="7">
        <v>26</v>
      </c>
      <c r="F87" s="7">
        <v>312</v>
      </c>
    </row>
    <row r="88" customHeight="1" spans="1:6">
      <c r="A88" s="24" t="s">
        <v>26</v>
      </c>
      <c r="B88" s="5" t="s">
        <v>95</v>
      </c>
      <c r="C88" s="6" t="s">
        <v>149</v>
      </c>
      <c r="D88" s="7">
        <v>12</v>
      </c>
      <c r="E88" s="7">
        <v>26</v>
      </c>
      <c r="F88" s="7">
        <v>312</v>
      </c>
    </row>
    <row r="89" customHeight="1" spans="1:6">
      <c r="A89" s="24" t="s">
        <v>26</v>
      </c>
      <c r="B89" s="5" t="s">
        <v>86</v>
      </c>
      <c r="C89" s="6" t="s">
        <v>150</v>
      </c>
      <c r="D89" s="7">
        <v>12</v>
      </c>
      <c r="E89" s="7">
        <v>28</v>
      </c>
      <c r="F89" s="7">
        <v>336</v>
      </c>
    </row>
    <row r="90" customHeight="1" spans="1:6">
      <c r="A90" s="24" t="s">
        <v>26</v>
      </c>
      <c r="B90" s="5" t="s">
        <v>95</v>
      </c>
      <c r="C90" s="6" t="s">
        <v>151</v>
      </c>
      <c r="D90" s="7">
        <v>12</v>
      </c>
      <c r="E90" s="7">
        <v>28</v>
      </c>
      <c r="F90" s="7">
        <v>336</v>
      </c>
    </row>
    <row r="91" customHeight="1" spans="1:6">
      <c r="A91" s="24" t="s">
        <v>26</v>
      </c>
      <c r="B91" s="5" t="s">
        <v>114</v>
      </c>
      <c r="C91" s="6" t="s">
        <v>152</v>
      </c>
      <c r="D91" s="7">
        <v>12</v>
      </c>
      <c r="E91" s="7">
        <v>33</v>
      </c>
      <c r="F91" s="7">
        <v>396</v>
      </c>
    </row>
    <row r="92" customHeight="1" spans="1:6">
      <c r="A92" s="24" t="s">
        <v>26</v>
      </c>
      <c r="B92" s="5" t="s">
        <v>86</v>
      </c>
      <c r="C92" s="6" t="s">
        <v>153</v>
      </c>
      <c r="D92" s="7">
        <v>12</v>
      </c>
      <c r="E92" s="7">
        <v>33</v>
      </c>
      <c r="F92" s="7">
        <v>396</v>
      </c>
    </row>
    <row r="93" customHeight="1" spans="1:6">
      <c r="A93" s="24" t="s">
        <v>26</v>
      </c>
      <c r="B93" s="5" t="s">
        <v>95</v>
      </c>
      <c r="C93" s="6" t="s">
        <v>154</v>
      </c>
      <c r="D93" s="7">
        <v>12</v>
      </c>
      <c r="E93" s="7">
        <v>33</v>
      </c>
      <c r="F93" s="7">
        <v>396</v>
      </c>
    </row>
    <row r="94" customHeight="1" spans="1:6">
      <c r="A94" s="24" t="s">
        <v>26</v>
      </c>
      <c r="B94" s="5" t="s">
        <v>95</v>
      </c>
      <c r="C94" s="6" t="s">
        <v>155</v>
      </c>
      <c r="D94" s="7">
        <v>12</v>
      </c>
      <c r="E94" s="7">
        <v>35</v>
      </c>
      <c r="F94" s="7">
        <v>420</v>
      </c>
    </row>
    <row r="95" customHeight="1" spans="1:6">
      <c r="A95" s="24" t="s">
        <v>26</v>
      </c>
      <c r="B95" s="5" t="s">
        <v>86</v>
      </c>
      <c r="C95" s="6" t="s">
        <v>156</v>
      </c>
      <c r="D95" s="7">
        <v>12</v>
      </c>
      <c r="E95" s="7">
        <v>36</v>
      </c>
      <c r="F95" s="7">
        <v>432</v>
      </c>
    </row>
    <row r="96" customHeight="1" spans="1:6">
      <c r="A96" s="24" t="s">
        <v>26</v>
      </c>
      <c r="B96" s="5" t="s">
        <v>157</v>
      </c>
      <c r="C96" s="6" t="s">
        <v>158</v>
      </c>
      <c r="D96" s="7">
        <v>12</v>
      </c>
      <c r="E96" s="7">
        <v>38</v>
      </c>
      <c r="F96" s="7">
        <v>456</v>
      </c>
    </row>
    <row r="97" customHeight="1" spans="1:6">
      <c r="A97" s="24" t="s">
        <v>26</v>
      </c>
      <c r="B97" s="5" t="s">
        <v>114</v>
      </c>
      <c r="C97" s="6" t="s">
        <v>159</v>
      </c>
      <c r="D97" s="7">
        <v>12</v>
      </c>
      <c r="E97" s="7">
        <v>38</v>
      </c>
      <c r="F97" s="7">
        <v>456</v>
      </c>
    </row>
    <row r="98" customHeight="1" spans="1:6">
      <c r="A98" s="24" t="s">
        <v>26</v>
      </c>
      <c r="B98" s="5" t="s">
        <v>86</v>
      </c>
      <c r="C98" s="6" t="s">
        <v>160</v>
      </c>
      <c r="D98" s="7">
        <v>12</v>
      </c>
      <c r="E98" s="7">
        <v>38</v>
      </c>
      <c r="F98" s="7">
        <v>456</v>
      </c>
    </row>
    <row r="99" customHeight="1" spans="1:6">
      <c r="A99" s="24" t="s">
        <v>26</v>
      </c>
      <c r="B99" s="5" t="s">
        <v>161</v>
      </c>
      <c r="C99" s="6" t="s">
        <v>162</v>
      </c>
      <c r="D99" s="7">
        <v>12</v>
      </c>
      <c r="E99" s="7">
        <v>40</v>
      </c>
      <c r="F99" s="7">
        <v>480</v>
      </c>
    </row>
    <row r="100" customHeight="1" spans="1:6">
      <c r="A100" s="24" t="s">
        <v>26</v>
      </c>
      <c r="B100" s="5" t="s">
        <v>163</v>
      </c>
      <c r="C100" s="6" t="s">
        <v>164</v>
      </c>
      <c r="D100" s="7">
        <v>12</v>
      </c>
      <c r="E100" s="7">
        <v>40</v>
      </c>
      <c r="F100" s="7">
        <v>480</v>
      </c>
    </row>
    <row r="101" customHeight="1" spans="1:6">
      <c r="A101" s="24" t="s">
        <v>26</v>
      </c>
      <c r="B101" s="5" t="s">
        <v>86</v>
      </c>
      <c r="C101" s="6" t="s">
        <v>165</v>
      </c>
      <c r="D101" s="7">
        <v>12</v>
      </c>
      <c r="E101" s="7">
        <v>40</v>
      </c>
      <c r="F101" s="7">
        <v>480</v>
      </c>
    </row>
    <row r="102" customHeight="1" spans="1:6">
      <c r="A102" s="24" t="s">
        <v>26</v>
      </c>
      <c r="B102" s="5" t="s">
        <v>95</v>
      </c>
      <c r="C102" s="6" t="s">
        <v>166</v>
      </c>
      <c r="D102" s="7">
        <v>12</v>
      </c>
      <c r="E102" s="7">
        <v>40</v>
      </c>
      <c r="F102" s="7">
        <v>480</v>
      </c>
    </row>
    <row r="103" customHeight="1" spans="1:6">
      <c r="A103" s="24" t="s">
        <v>26</v>
      </c>
      <c r="B103" s="5" t="s">
        <v>114</v>
      </c>
      <c r="C103" s="6" t="s">
        <v>167</v>
      </c>
      <c r="D103" s="7">
        <v>12</v>
      </c>
      <c r="E103" s="7">
        <v>55</v>
      </c>
      <c r="F103" s="7">
        <v>660</v>
      </c>
    </row>
    <row r="104" customHeight="1" spans="1:6">
      <c r="A104" s="24" t="s">
        <v>26</v>
      </c>
      <c r="B104" s="5" t="s">
        <v>86</v>
      </c>
      <c r="C104" s="6" t="s">
        <v>168</v>
      </c>
      <c r="D104" s="7">
        <v>12</v>
      </c>
      <c r="E104" s="7">
        <v>55</v>
      </c>
      <c r="F104" s="7">
        <v>660</v>
      </c>
    </row>
    <row r="105" customHeight="1" spans="1:6">
      <c r="A105" s="24" t="s">
        <v>26</v>
      </c>
      <c r="B105" s="5" t="s">
        <v>95</v>
      </c>
      <c r="C105" s="6" t="s">
        <v>169</v>
      </c>
      <c r="D105" s="7">
        <v>12</v>
      </c>
      <c r="E105" s="7">
        <v>55</v>
      </c>
      <c r="F105" s="7">
        <v>660</v>
      </c>
    </row>
    <row r="106" customHeight="1" spans="1:6">
      <c r="A106" s="24" t="s">
        <v>26</v>
      </c>
      <c r="B106" s="5" t="s">
        <v>86</v>
      </c>
      <c r="C106" s="6" t="s">
        <v>170</v>
      </c>
      <c r="D106" s="7">
        <v>12</v>
      </c>
      <c r="E106" s="7">
        <v>60</v>
      </c>
      <c r="F106" s="7">
        <v>720</v>
      </c>
    </row>
    <row r="107" customHeight="1" spans="1:6">
      <c r="A107" s="24" t="s">
        <v>26</v>
      </c>
      <c r="B107" s="5" t="s">
        <v>157</v>
      </c>
      <c r="C107" s="6" t="s">
        <v>171</v>
      </c>
      <c r="D107" s="7">
        <v>12</v>
      </c>
      <c r="E107" s="7">
        <v>65</v>
      </c>
      <c r="F107" s="7">
        <v>780</v>
      </c>
    </row>
    <row r="108" customHeight="1" spans="1:6">
      <c r="A108" s="24" t="s">
        <v>26</v>
      </c>
      <c r="B108" s="5" t="s">
        <v>86</v>
      </c>
      <c r="C108" s="6" t="s">
        <v>172</v>
      </c>
      <c r="D108" s="7">
        <v>12</v>
      </c>
      <c r="E108" s="7">
        <v>65</v>
      </c>
      <c r="F108" s="7">
        <v>780</v>
      </c>
    </row>
    <row r="109" customHeight="1" spans="1:6">
      <c r="A109" s="24" t="s">
        <v>26</v>
      </c>
      <c r="B109" s="5" t="s">
        <v>95</v>
      </c>
      <c r="C109" s="6" t="s">
        <v>173</v>
      </c>
      <c r="D109" s="7">
        <v>12</v>
      </c>
      <c r="E109" s="7">
        <v>65</v>
      </c>
      <c r="F109" s="7">
        <v>780</v>
      </c>
    </row>
    <row r="110" customHeight="1" spans="1:6">
      <c r="A110" s="24" t="s">
        <v>26</v>
      </c>
      <c r="B110" s="5" t="s">
        <v>86</v>
      </c>
      <c r="C110" s="6" t="s">
        <v>174</v>
      </c>
      <c r="D110" s="7">
        <v>12</v>
      </c>
      <c r="E110" s="7">
        <v>75</v>
      </c>
      <c r="F110" s="7">
        <v>900</v>
      </c>
    </row>
    <row r="111" customHeight="1" spans="1:6">
      <c r="A111" s="24" t="s">
        <v>26</v>
      </c>
      <c r="B111" s="5" t="s">
        <v>95</v>
      </c>
      <c r="C111" s="6" t="s">
        <v>175</v>
      </c>
      <c r="D111" s="7">
        <v>12</v>
      </c>
      <c r="E111" s="7">
        <v>75</v>
      </c>
      <c r="F111" s="7">
        <v>900</v>
      </c>
    </row>
    <row r="112" customHeight="1" spans="1:6">
      <c r="A112" s="24" t="s">
        <v>26</v>
      </c>
      <c r="B112" s="5" t="s">
        <v>86</v>
      </c>
      <c r="C112" s="6" t="s">
        <v>176</v>
      </c>
      <c r="D112" s="7">
        <v>12</v>
      </c>
      <c r="E112" s="7">
        <v>80</v>
      </c>
      <c r="F112" s="7">
        <v>960</v>
      </c>
    </row>
    <row r="113" customHeight="1" spans="1:6">
      <c r="A113" s="24" t="s">
        <v>26</v>
      </c>
      <c r="B113" s="5" t="s">
        <v>157</v>
      </c>
      <c r="C113" s="6" t="s">
        <v>177</v>
      </c>
      <c r="D113" s="7">
        <v>12</v>
      </c>
      <c r="E113" s="7">
        <v>100</v>
      </c>
      <c r="F113" s="7">
        <v>1200</v>
      </c>
    </row>
    <row r="114" customHeight="1" spans="1:6">
      <c r="A114" s="24" t="s">
        <v>26</v>
      </c>
      <c r="B114" s="5" t="s">
        <v>161</v>
      </c>
      <c r="C114" s="6" t="s">
        <v>178</v>
      </c>
      <c r="D114" s="7">
        <v>12</v>
      </c>
      <c r="E114" s="7">
        <v>100</v>
      </c>
      <c r="F114" s="7">
        <v>1200</v>
      </c>
    </row>
    <row r="115" customHeight="1" spans="1:6">
      <c r="A115" s="24" t="s">
        <v>26</v>
      </c>
      <c r="B115" s="5" t="s">
        <v>95</v>
      </c>
      <c r="C115" s="6" t="s">
        <v>179</v>
      </c>
      <c r="D115" s="7">
        <v>12</v>
      </c>
      <c r="E115" s="7">
        <v>100</v>
      </c>
      <c r="F115" s="7">
        <v>1200</v>
      </c>
    </row>
    <row r="116" customHeight="1" spans="1:6">
      <c r="A116" s="24" t="s">
        <v>26</v>
      </c>
      <c r="B116" s="5" t="s">
        <v>95</v>
      </c>
      <c r="C116" s="6" t="s">
        <v>180</v>
      </c>
      <c r="D116" s="7">
        <v>12</v>
      </c>
      <c r="E116" s="7">
        <v>100</v>
      </c>
      <c r="F116" s="7">
        <v>1200</v>
      </c>
    </row>
    <row r="117" customHeight="1" spans="1:6">
      <c r="A117" s="24" t="s">
        <v>26</v>
      </c>
      <c r="B117" s="5" t="s">
        <v>95</v>
      </c>
      <c r="C117" s="6" t="s">
        <v>181</v>
      </c>
      <c r="D117" s="7">
        <v>12</v>
      </c>
      <c r="E117" s="7">
        <v>110</v>
      </c>
      <c r="F117" s="7">
        <v>1320</v>
      </c>
    </row>
    <row r="118" customHeight="1" spans="1:6">
      <c r="A118" s="24" t="s">
        <v>26</v>
      </c>
      <c r="B118" s="5" t="s">
        <v>161</v>
      </c>
      <c r="C118" s="6" t="s">
        <v>182</v>
      </c>
      <c r="D118" s="7">
        <v>12</v>
      </c>
      <c r="E118" s="7">
        <v>150</v>
      </c>
      <c r="F118" s="7">
        <v>1800</v>
      </c>
    </row>
    <row r="119" customHeight="1" spans="1:6">
      <c r="A119" s="24" t="s">
        <v>26</v>
      </c>
      <c r="B119" s="5" t="s">
        <v>183</v>
      </c>
      <c r="C119" s="6" t="s">
        <v>184</v>
      </c>
      <c r="D119" s="7">
        <v>12</v>
      </c>
      <c r="E119" s="7">
        <v>36</v>
      </c>
      <c r="F119" s="7">
        <v>432</v>
      </c>
    </row>
    <row r="120" customHeight="1" spans="1:6">
      <c r="A120" s="24" t="s">
        <v>26</v>
      </c>
      <c r="B120" s="5" t="s">
        <v>183</v>
      </c>
      <c r="C120" s="6" t="s">
        <v>185</v>
      </c>
      <c r="D120" s="7">
        <v>12</v>
      </c>
      <c r="E120" s="8">
        <v>45785</v>
      </c>
      <c r="F120" s="7">
        <v>102</v>
      </c>
    </row>
    <row r="121" customHeight="1" spans="1:6">
      <c r="A121" s="24" t="s">
        <v>26</v>
      </c>
      <c r="B121" s="5" t="s">
        <v>183</v>
      </c>
      <c r="C121" s="6" t="s">
        <v>186</v>
      </c>
      <c r="D121" s="7">
        <v>12</v>
      </c>
      <c r="E121" s="7">
        <v>150</v>
      </c>
      <c r="F121" s="7">
        <v>1800</v>
      </c>
    </row>
    <row r="122" customHeight="1" spans="1:6">
      <c r="A122" s="24" t="s">
        <v>26</v>
      </c>
      <c r="B122" s="5" t="s">
        <v>183</v>
      </c>
      <c r="C122" s="6" t="s">
        <v>187</v>
      </c>
      <c r="D122" s="7">
        <v>12</v>
      </c>
      <c r="E122" s="7">
        <v>12</v>
      </c>
      <c r="F122" s="7">
        <v>144</v>
      </c>
    </row>
    <row r="123" customHeight="1" spans="1:6">
      <c r="A123" s="24" t="s">
        <v>26</v>
      </c>
      <c r="B123" s="5" t="s">
        <v>183</v>
      </c>
      <c r="C123" s="6" t="s">
        <v>188</v>
      </c>
      <c r="D123" s="7">
        <v>12</v>
      </c>
      <c r="E123" s="7">
        <v>14</v>
      </c>
      <c r="F123" s="7">
        <v>168</v>
      </c>
    </row>
    <row r="124" customHeight="1" spans="1:6">
      <c r="A124" s="24" t="s">
        <v>26</v>
      </c>
      <c r="B124" s="5" t="s">
        <v>183</v>
      </c>
      <c r="C124" s="6" t="s">
        <v>189</v>
      </c>
      <c r="D124" s="7">
        <v>12</v>
      </c>
      <c r="E124" s="7">
        <v>20</v>
      </c>
      <c r="F124" s="7">
        <v>240</v>
      </c>
    </row>
    <row r="125" customHeight="1" spans="1:6">
      <c r="A125" s="24" t="s">
        <v>26</v>
      </c>
      <c r="B125" s="5" t="s">
        <v>183</v>
      </c>
      <c r="C125" s="6" t="s">
        <v>190</v>
      </c>
      <c r="D125" s="7">
        <v>12</v>
      </c>
      <c r="E125" s="7">
        <v>58</v>
      </c>
      <c r="F125" s="7">
        <v>696</v>
      </c>
    </row>
    <row r="126" customHeight="1" spans="1:6">
      <c r="A126" s="24" t="s">
        <v>26</v>
      </c>
      <c r="B126" s="5" t="s">
        <v>183</v>
      </c>
      <c r="C126" s="6" t="s">
        <v>191</v>
      </c>
      <c r="D126" s="7">
        <v>12</v>
      </c>
      <c r="E126" s="7">
        <v>82</v>
      </c>
      <c r="F126" s="7">
        <v>984</v>
      </c>
    </row>
    <row r="127" customHeight="1" spans="1:6">
      <c r="A127" s="24" t="s">
        <v>26</v>
      </c>
      <c r="B127" s="5" t="s">
        <v>183</v>
      </c>
      <c r="C127" s="6" t="s">
        <v>192</v>
      </c>
      <c r="D127" s="7">
        <v>12</v>
      </c>
      <c r="E127" s="7">
        <v>95</v>
      </c>
      <c r="F127" s="7">
        <v>1140</v>
      </c>
    </row>
    <row r="128" customHeight="1" spans="1:6">
      <c r="A128" s="24" t="s">
        <v>26</v>
      </c>
      <c r="B128" s="5" t="s">
        <v>183</v>
      </c>
      <c r="C128" s="6" t="s">
        <v>193</v>
      </c>
      <c r="D128" s="7">
        <v>12</v>
      </c>
      <c r="E128" s="7">
        <v>110</v>
      </c>
      <c r="F128" s="7">
        <v>1320</v>
      </c>
    </row>
    <row r="129" customHeight="1" spans="1:6">
      <c r="A129" s="24" t="s">
        <v>26</v>
      </c>
      <c r="B129" s="5" t="s">
        <v>194</v>
      </c>
      <c r="C129" s="6" t="s">
        <v>195</v>
      </c>
      <c r="D129" s="7">
        <v>12</v>
      </c>
      <c r="E129" s="7">
        <v>30</v>
      </c>
      <c r="F129" s="7">
        <v>360</v>
      </c>
    </row>
    <row r="130" customHeight="1" spans="1:6">
      <c r="A130" s="24" t="s">
        <v>26</v>
      </c>
      <c r="B130" s="5" t="s">
        <v>194</v>
      </c>
      <c r="C130" s="6" t="s">
        <v>196</v>
      </c>
      <c r="D130" s="7">
        <v>12</v>
      </c>
      <c r="E130" s="7">
        <v>42</v>
      </c>
      <c r="F130" s="7">
        <v>504</v>
      </c>
    </row>
    <row r="131" customHeight="1" spans="1:6">
      <c r="A131" s="24" t="s">
        <v>26</v>
      </c>
      <c r="B131" s="5" t="s">
        <v>194</v>
      </c>
      <c r="C131" s="6" t="s">
        <v>197</v>
      </c>
      <c r="D131" s="7">
        <v>12</v>
      </c>
      <c r="E131" s="7">
        <v>42</v>
      </c>
      <c r="F131" s="7">
        <v>504</v>
      </c>
    </row>
    <row r="132" customHeight="1" spans="1:6">
      <c r="A132" s="24" t="s">
        <v>26</v>
      </c>
      <c r="B132" s="5" t="s">
        <v>194</v>
      </c>
      <c r="C132" s="6" t="s">
        <v>198</v>
      </c>
      <c r="D132" s="7">
        <v>12</v>
      </c>
      <c r="E132" s="7">
        <v>75</v>
      </c>
      <c r="F132" s="7">
        <v>900</v>
      </c>
    </row>
    <row r="133" customHeight="1" spans="1:6">
      <c r="A133" s="24" t="s">
        <v>26</v>
      </c>
      <c r="B133" s="5" t="s">
        <v>194</v>
      </c>
      <c r="C133" s="6" t="s">
        <v>199</v>
      </c>
      <c r="D133" s="7">
        <v>12</v>
      </c>
      <c r="E133" s="7" t="s">
        <v>200</v>
      </c>
      <c r="F133" s="10" t="s">
        <v>201</v>
      </c>
    </row>
    <row r="134" customHeight="1" spans="1:6">
      <c r="A134" s="24" t="s">
        <v>26</v>
      </c>
      <c r="B134" s="5" t="s">
        <v>194</v>
      </c>
      <c r="C134" s="6" t="s">
        <v>202</v>
      </c>
      <c r="D134" s="7">
        <v>12</v>
      </c>
      <c r="E134" s="7">
        <v>126</v>
      </c>
      <c r="F134" s="7">
        <v>1512</v>
      </c>
    </row>
    <row r="135" customHeight="1" spans="1:6">
      <c r="A135" s="24" t="s">
        <v>26</v>
      </c>
      <c r="B135" s="5" t="s">
        <v>194</v>
      </c>
      <c r="C135" s="6" t="s">
        <v>203</v>
      </c>
      <c r="D135" s="7">
        <v>12</v>
      </c>
      <c r="E135" s="7">
        <v>147</v>
      </c>
      <c r="F135" s="7">
        <v>1764</v>
      </c>
    </row>
    <row r="136" customHeight="1" spans="1:6">
      <c r="A136" s="24" t="s">
        <v>26</v>
      </c>
      <c r="B136" s="5" t="s">
        <v>204</v>
      </c>
      <c r="C136" s="6" t="s">
        <v>205</v>
      </c>
      <c r="D136" s="7">
        <v>12</v>
      </c>
      <c r="E136" s="7">
        <v>38</v>
      </c>
      <c r="F136" s="7">
        <v>456</v>
      </c>
    </row>
    <row r="137" customHeight="1" spans="1:6">
      <c r="A137" s="24" t="s">
        <v>26</v>
      </c>
      <c r="B137" s="5" t="s">
        <v>204</v>
      </c>
      <c r="C137" s="6" t="s">
        <v>206</v>
      </c>
      <c r="D137" s="7">
        <v>12</v>
      </c>
      <c r="E137" s="8">
        <v>45785</v>
      </c>
      <c r="F137" s="7">
        <v>102</v>
      </c>
    </row>
    <row r="138" customHeight="1" spans="1:6">
      <c r="A138" s="24" t="s">
        <v>26</v>
      </c>
      <c r="B138" s="5" t="s">
        <v>204</v>
      </c>
      <c r="C138" s="6" t="s">
        <v>207</v>
      </c>
      <c r="D138" s="7">
        <v>12</v>
      </c>
      <c r="E138" s="7">
        <v>18</v>
      </c>
      <c r="F138" s="7">
        <v>216</v>
      </c>
    </row>
    <row r="139" customHeight="1" spans="1:6">
      <c r="A139" s="24" t="s">
        <v>26</v>
      </c>
      <c r="B139" s="5" t="s">
        <v>204</v>
      </c>
      <c r="C139" s="6" t="s">
        <v>208</v>
      </c>
      <c r="D139" s="7">
        <v>12</v>
      </c>
      <c r="E139" s="7">
        <v>24</v>
      </c>
      <c r="F139" s="7">
        <v>288</v>
      </c>
    </row>
    <row r="140" customHeight="1" spans="1:6">
      <c r="A140" s="24" t="s">
        <v>26</v>
      </c>
      <c r="B140" s="5" t="s">
        <v>204</v>
      </c>
      <c r="C140" s="6" t="s">
        <v>209</v>
      </c>
      <c r="D140" s="7">
        <v>12</v>
      </c>
      <c r="E140" s="7">
        <v>33</v>
      </c>
      <c r="F140" s="7">
        <v>396</v>
      </c>
    </row>
    <row r="141" customHeight="1" spans="1:6">
      <c r="A141" s="24" t="s">
        <v>26</v>
      </c>
      <c r="B141" s="5" t="s">
        <v>204</v>
      </c>
      <c r="C141" s="6" t="s">
        <v>210</v>
      </c>
      <c r="D141" s="7">
        <v>12</v>
      </c>
      <c r="E141" s="7">
        <v>38</v>
      </c>
      <c r="F141" s="7">
        <v>456</v>
      </c>
    </row>
    <row r="142" customHeight="1" spans="1:6">
      <c r="A142" s="24" t="s">
        <v>26</v>
      </c>
      <c r="B142" s="5" t="s">
        <v>204</v>
      </c>
      <c r="C142" s="6" t="s">
        <v>211</v>
      </c>
      <c r="D142" s="7">
        <v>12</v>
      </c>
      <c r="E142" s="7">
        <v>215</v>
      </c>
      <c r="F142" s="7">
        <v>2580</v>
      </c>
    </row>
    <row r="143" customHeight="1" spans="1:6">
      <c r="A143" s="24" t="s">
        <v>26</v>
      </c>
      <c r="B143" s="5" t="s">
        <v>212</v>
      </c>
      <c r="C143" s="6" t="s">
        <v>213</v>
      </c>
      <c r="D143" s="7">
        <v>8</v>
      </c>
      <c r="E143" s="7">
        <v>225</v>
      </c>
      <c r="F143" s="7">
        <v>1800</v>
      </c>
    </row>
    <row r="144" customHeight="1" spans="1:6">
      <c r="A144" s="24" t="s">
        <v>26</v>
      </c>
      <c r="B144" s="5" t="s">
        <v>212</v>
      </c>
      <c r="C144" s="6" t="s">
        <v>214</v>
      </c>
      <c r="D144" s="7">
        <v>8</v>
      </c>
      <c r="E144" s="7">
        <v>170</v>
      </c>
      <c r="F144" s="7">
        <v>1360</v>
      </c>
    </row>
    <row r="145" customHeight="1" spans="1:6">
      <c r="A145" s="24" t="s">
        <v>26</v>
      </c>
      <c r="B145" s="5" t="s">
        <v>215</v>
      </c>
      <c r="C145" s="6" t="s">
        <v>216</v>
      </c>
      <c r="D145" s="7">
        <v>12</v>
      </c>
      <c r="E145" s="7">
        <v>33</v>
      </c>
      <c r="F145" s="7">
        <v>396</v>
      </c>
    </row>
    <row r="146" customHeight="1" spans="1:6">
      <c r="A146" s="24" t="s">
        <v>26</v>
      </c>
      <c r="B146" s="5" t="s">
        <v>215</v>
      </c>
      <c r="C146" s="6" t="s">
        <v>217</v>
      </c>
      <c r="D146" s="7">
        <v>12</v>
      </c>
      <c r="E146" s="7">
        <v>40</v>
      </c>
      <c r="F146" s="7">
        <v>480</v>
      </c>
    </row>
    <row r="147" customHeight="1" spans="1:6">
      <c r="A147" s="24" t="s">
        <v>26</v>
      </c>
      <c r="B147" s="5" t="s">
        <v>215</v>
      </c>
      <c r="C147" s="6" t="s">
        <v>218</v>
      </c>
      <c r="D147" s="7">
        <v>12</v>
      </c>
      <c r="E147" s="7">
        <v>55</v>
      </c>
      <c r="F147" s="7">
        <v>660</v>
      </c>
    </row>
    <row r="148" customHeight="1" spans="1:6">
      <c r="A148" s="24" t="s">
        <v>26</v>
      </c>
      <c r="B148" s="5" t="s">
        <v>215</v>
      </c>
      <c r="C148" s="6" t="s">
        <v>219</v>
      </c>
      <c r="D148" s="7">
        <v>12</v>
      </c>
      <c r="E148" s="7">
        <v>65</v>
      </c>
      <c r="F148" s="7">
        <v>780</v>
      </c>
    </row>
    <row r="149" customHeight="1" spans="1:6">
      <c r="A149" s="24" t="s">
        <v>26</v>
      </c>
      <c r="B149" s="5" t="s">
        <v>215</v>
      </c>
      <c r="C149" s="6" t="s">
        <v>220</v>
      </c>
      <c r="D149" s="7">
        <v>12</v>
      </c>
      <c r="E149" s="7">
        <v>70</v>
      </c>
      <c r="F149" s="7">
        <v>840</v>
      </c>
    </row>
    <row r="150" customHeight="1" spans="1:6">
      <c r="A150" s="24" t="s">
        <v>26</v>
      </c>
      <c r="B150" s="5" t="s">
        <v>215</v>
      </c>
      <c r="C150" s="6" t="s">
        <v>221</v>
      </c>
      <c r="D150" s="7">
        <v>12</v>
      </c>
      <c r="E150" s="7">
        <v>100</v>
      </c>
      <c r="F150" s="7">
        <v>1200</v>
      </c>
    </row>
    <row r="151" customHeight="1" spans="1:6">
      <c r="A151" s="24" t="s">
        <v>26</v>
      </c>
      <c r="B151" s="5" t="s">
        <v>215</v>
      </c>
      <c r="C151" s="6" t="s">
        <v>222</v>
      </c>
      <c r="D151" s="7">
        <v>12</v>
      </c>
      <c r="E151" s="7">
        <v>120</v>
      </c>
      <c r="F151" s="7">
        <v>1440</v>
      </c>
    </row>
    <row r="152" customHeight="1" spans="1:6">
      <c r="A152" s="24" t="s">
        <v>26</v>
      </c>
      <c r="B152" s="5" t="s">
        <v>215</v>
      </c>
      <c r="C152" s="6" t="s">
        <v>223</v>
      </c>
      <c r="D152" s="7">
        <v>12</v>
      </c>
      <c r="E152" s="7">
        <v>120</v>
      </c>
      <c r="F152" s="7">
        <v>1440</v>
      </c>
    </row>
    <row r="153" customHeight="1" spans="1:6">
      <c r="A153" s="24" t="s">
        <v>26</v>
      </c>
      <c r="B153" s="5" t="s">
        <v>215</v>
      </c>
      <c r="C153" s="6" t="s">
        <v>224</v>
      </c>
      <c r="D153" s="7">
        <v>12</v>
      </c>
      <c r="E153" s="7">
        <v>150</v>
      </c>
      <c r="F153" s="7">
        <v>1800</v>
      </c>
    </row>
    <row r="154" customHeight="1" spans="1:6">
      <c r="A154" s="24" t="s">
        <v>26</v>
      </c>
      <c r="B154" s="5" t="s">
        <v>215</v>
      </c>
      <c r="C154" s="6" t="s">
        <v>225</v>
      </c>
      <c r="D154" s="7">
        <v>12</v>
      </c>
      <c r="E154" s="7">
        <v>200</v>
      </c>
      <c r="F154" s="7">
        <v>2400</v>
      </c>
    </row>
    <row r="155" customHeight="1" spans="1:6">
      <c r="A155" s="24" t="s">
        <v>26</v>
      </c>
      <c r="B155" s="5" t="s">
        <v>215</v>
      </c>
      <c r="C155" s="6" t="s">
        <v>226</v>
      </c>
      <c r="D155" s="7">
        <v>12</v>
      </c>
      <c r="E155" s="7">
        <v>28</v>
      </c>
      <c r="F155" s="7">
        <v>336</v>
      </c>
    </row>
    <row r="156" customHeight="1" spans="1:6">
      <c r="A156" s="24" t="s">
        <v>26</v>
      </c>
      <c r="B156" s="5" t="s">
        <v>215</v>
      </c>
      <c r="C156" s="6" t="s">
        <v>227</v>
      </c>
      <c r="D156" s="7">
        <v>12</v>
      </c>
      <c r="E156" s="7">
        <v>62</v>
      </c>
      <c r="F156" s="7">
        <v>744</v>
      </c>
    </row>
    <row r="157" customHeight="1" spans="1:6">
      <c r="A157" s="24" t="s">
        <v>26</v>
      </c>
      <c r="B157" s="5" t="s">
        <v>215</v>
      </c>
      <c r="C157" s="6" t="s">
        <v>228</v>
      </c>
      <c r="D157" s="7">
        <v>12</v>
      </c>
      <c r="E157" s="7">
        <v>12</v>
      </c>
      <c r="F157" s="7">
        <v>144</v>
      </c>
    </row>
    <row r="158" customHeight="1" spans="1:6">
      <c r="A158" s="24" t="s">
        <v>26</v>
      </c>
      <c r="B158" s="25" t="s">
        <v>229</v>
      </c>
      <c r="C158" s="6" t="s">
        <v>230</v>
      </c>
      <c r="D158" s="7">
        <v>12</v>
      </c>
      <c r="E158" s="7">
        <v>4</v>
      </c>
      <c r="F158" s="7">
        <v>48</v>
      </c>
    </row>
    <row r="159" customHeight="1" spans="1:6">
      <c r="A159" s="24" t="s">
        <v>26</v>
      </c>
      <c r="B159" s="25" t="s">
        <v>229</v>
      </c>
      <c r="C159" s="6" t="s">
        <v>231</v>
      </c>
      <c r="D159" s="7">
        <v>12</v>
      </c>
      <c r="E159" s="7">
        <v>6</v>
      </c>
      <c r="F159" s="7">
        <v>72</v>
      </c>
    </row>
    <row r="160" customHeight="1" spans="1:6">
      <c r="A160" s="24" t="s">
        <v>26</v>
      </c>
      <c r="B160" s="25" t="s">
        <v>229</v>
      </c>
      <c r="C160" s="6" t="s">
        <v>232</v>
      </c>
      <c r="D160" s="7">
        <v>12</v>
      </c>
      <c r="E160" s="7">
        <v>6</v>
      </c>
      <c r="F160" s="7">
        <v>72</v>
      </c>
    </row>
    <row r="161" customHeight="1" spans="1:6">
      <c r="A161" s="24" t="s">
        <v>26</v>
      </c>
      <c r="B161" s="25" t="s">
        <v>229</v>
      </c>
      <c r="C161" s="6" t="s">
        <v>233</v>
      </c>
      <c r="D161" s="7">
        <v>12</v>
      </c>
      <c r="E161" s="7">
        <v>8</v>
      </c>
      <c r="F161" s="7">
        <v>96</v>
      </c>
    </row>
    <row r="162" customHeight="1" spans="1:6">
      <c r="A162" s="24" t="s">
        <v>26</v>
      </c>
      <c r="B162" s="25" t="s">
        <v>229</v>
      </c>
      <c r="C162" s="6" t="s">
        <v>234</v>
      </c>
      <c r="D162" s="7">
        <v>12</v>
      </c>
      <c r="E162" s="7">
        <v>10</v>
      </c>
      <c r="F162" s="7">
        <v>120</v>
      </c>
    </row>
    <row r="163" customHeight="1" spans="1:6">
      <c r="A163" s="24" t="s">
        <v>26</v>
      </c>
      <c r="B163" s="25" t="s">
        <v>229</v>
      </c>
      <c r="C163" s="6" t="s">
        <v>235</v>
      </c>
      <c r="D163" s="7">
        <v>12</v>
      </c>
      <c r="E163" s="7">
        <v>12</v>
      </c>
      <c r="F163" s="7">
        <v>144</v>
      </c>
    </row>
    <row r="164" customHeight="1" spans="1:6">
      <c r="A164" s="24" t="s">
        <v>26</v>
      </c>
      <c r="B164" s="25" t="s">
        <v>229</v>
      </c>
      <c r="C164" s="6" t="s">
        <v>178</v>
      </c>
      <c r="D164" s="7">
        <v>12</v>
      </c>
      <c r="E164" s="7">
        <v>100</v>
      </c>
      <c r="F164" s="7">
        <v>1200</v>
      </c>
    </row>
    <row r="165" customHeight="1" spans="1:6">
      <c r="A165" s="24" t="s">
        <v>26</v>
      </c>
      <c r="B165" s="25" t="s">
        <v>229</v>
      </c>
      <c r="C165" s="6" t="s">
        <v>182</v>
      </c>
      <c r="D165" s="7">
        <v>12</v>
      </c>
      <c r="E165" s="7">
        <v>150</v>
      </c>
      <c r="F165" s="7">
        <v>1800</v>
      </c>
    </row>
    <row r="166" customHeight="1" spans="1:6">
      <c r="A166" s="24" t="s">
        <v>26</v>
      </c>
      <c r="B166" s="25" t="s">
        <v>229</v>
      </c>
      <c r="C166" s="6" t="s">
        <v>162</v>
      </c>
      <c r="D166" s="7">
        <v>12</v>
      </c>
      <c r="E166" s="7">
        <v>40</v>
      </c>
      <c r="F166" s="7">
        <v>480</v>
      </c>
    </row>
    <row r="167" customHeight="1" spans="1:6">
      <c r="A167" s="24" t="s">
        <v>26</v>
      </c>
      <c r="B167" s="25" t="s">
        <v>229</v>
      </c>
      <c r="C167" s="6" t="s">
        <v>236</v>
      </c>
      <c r="D167" s="7">
        <v>12</v>
      </c>
      <c r="E167" s="7">
        <v>100</v>
      </c>
      <c r="F167" s="7">
        <v>1200</v>
      </c>
    </row>
    <row r="168" customHeight="1" spans="1:6">
      <c r="A168" s="24" t="s">
        <v>26</v>
      </c>
      <c r="B168" s="25" t="s">
        <v>229</v>
      </c>
      <c r="C168" s="6" t="s">
        <v>237</v>
      </c>
      <c r="D168" s="7">
        <v>12</v>
      </c>
      <c r="E168" s="7">
        <v>150</v>
      </c>
      <c r="F168" s="7">
        <v>1800</v>
      </c>
    </row>
    <row r="169" customHeight="1" spans="1:6">
      <c r="A169" s="24" t="s">
        <v>26</v>
      </c>
      <c r="B169" s="25" t="s">
        <v>229</v>
      </c>
      <c r="C169" s="6" t="s">
        <v>238</v>
      </c>
      <c r="D169" s="7">
        <v>12</v>
      </c>
      <c r="E169" s="7">
        <v>200</v>
      </c>
      <c r="F169" s="7">
        <v>2400</v>
      </c>
    </row>
    <row r="170" customHeight="1" spans="1:6">
      <c r="A170" s="24" t="s">
        <v>239</v>
      </c>
      <c r="B170" s="5" t="s">
        <v>240</v>
      </c>
      <c r="C170" s="6" t="s">
        <v>241</v>
      </c>
      <c r="D170" s="8">
        <v>45778</v>
      </c>
      <c r="E170" s="7">
        <v>25</v>
      </c>
      <c r="F170" s="7" t="s">
        <v>242</v>
      </c>
    </row>
    <row r="171" customHeight="1" spans="1:6">
      <c r="A171" s="24" t="s">
        <v>239</v>
      </c>
      <c r="B171" s="5" t="s">
        <v>243</v>
      </c>
      <c r="C171" s="6" t="s">
        <v>244</v>
      </c>
      <c r="D171" s="7">
        <v>12</v>
      </c>
      <c r="E171" s="7">
        <v>55</v>
      </c>
      <c r="F171" s="7">
        <v>660</v>
      </c>
    </row>
    <row r="172" customHeight="1" spans="1:6">
      <c r="A172" s="24" t="s">
        <v>239</v>
      </c>
      <c r="B172" s="5" t="s">
        <v>245</v>
      </c>
      <c r="C172" s="6" t="s">
        <v>246</v>
      </c>
      <c r="D172" s="7">
        <v>9</v>
      </c>
      <c r="E172" s="7" t="s">
        <v>247</v>
      </c>
      <c r="F172" s="7" t="s">
        <v>248</v>
      </c>
    </row>
    <row r="173" customHeight="1" spans="1:6">
      <c r="A173" s="24" t="s">
        <v>249</v>
      </c>
      <c r="B173" s="5" t="s">
        <v>250</v>
      </c>
      <c r="C173" s="6" t="s">
        <v>251</v>
      </c>
      <c r="D173" s="7">
        <v>3</v>
      </c>
      <c r="E173" s="7">
        <v>25</v>
      </c>
      <c r="F173" s="7">
        <v>75</v>
      </c>
    </row>
    <row r="174" customHeight="1" spans="1:6">
      <c r="A174" s="24" t="s">
        <v>249</v>
      </c>
      <c r="B174" s="5" t="s">
        <v>250</v>
      </c>
      <c r="C174" s="6" t="s">
        <v>252</v>
      </c>
      <c r="D174" s="7">
        <v>3</v>
      </c>
      <c r="E174" s="7">
        <v>38</v>
      </c>
      <c r="F174" s="7">
        <v>114</v>
      </c>
    </row>
    <row r="175" customHeight="1" spans="1:6">
      <c r="A175" s="24" t="s">
        <v>249</v>
      </c>
      <c r="B175" s="5" t="s">
        <v>250</v>
      </c>
      <c r="C175" s="6" t="s">
        <v>253</v>
      </c>
      <c r="D175" s="7">
        <v>3</v>
      </c>
      <c r="E175" s="7">
        <v>48</v>
      </c>
      <c r="F175" s="7">
        <v>144</v>
      </c>
    </row>
    <row r="176" customHeight="1" spans="1:6">
      <c r="A176" s="24" t="s">
        <v>249</v>
      </c>
      <c r="B176" s="5" t="s">
        <v>250</v>
      </c>
      <c r="C176" s="6" t="s">
        <v>254</v>
      </c>
      <c r="D176" s="7">
        <v>3</v>
      </c>
      <c r="E176" s="7" t="s">
        <v>255</v>
      </c>
      <c r="F176" s="7" t="s">
        <v>247</v>
      </c>
    </row>
    <row r="177" customHeight="1" spans="1:6">
      <c r="A177" s="24" t="s">
        <v>249</v>
      </c>
      <c r="B177" s="5" t="s">
        <v>250</v>
      </c>
      <c r="C177" s="6" t="s">
        <v>256</v>
      </c>
      <c r="D177" s="7">
        <v>3</v>
      </c>
      <c r="E177" s="7">
        <v>68</v>
      </c>
      <c r="F177" s="7">
        <v>204</v>
      </c>
    </row>
    <row r="178" customHeight="1" spans="1:6">
      <c r="A178" s="24" t="s">
        <v>249</v>
      </c>
      <c r="B178" s="5" t="s">
        <v>250</v>
      </c>
      <c r="C178" s="6" t="s">
        <v>257</v>
      </c>
      <c r="D178" s="7">
        <v>3</v>
      </c>
      <c r="E178" s="7">
        <v>125</v>
      </c>
      <c r="F178" s="7">
        <v>375</v>
      </c>
    </row>
    <row r="179" customHeight="1" spans="1:6">
      <c r="A179" s="24" t="s">
        <v>249</v>
      </c>
      <c r="B179" s="5" t="s">
        <v>250</v>
      </c>
      <c r="C179" s="6" t="s">
        <v>258</v>
      </c>
      <c r="D179" s="7">
        <v>3</v>
      </c>
      <c r="E179" s="7" t="s">
        <v>259</v>
      </c>
      <c r="F179" s="7" t="s">
        <v>260</v>
      </c>
    </row>
    <row r="180" customHeight="1" spans="1:6">
      <c r="A180" s="24" t="s">
        <v>249</v>
      </c>
      <c r="B180" s="5" t="s">
        <v>250</v>
      </c>
      <c r="C180" s="6" t="s">
        <v>261</v>
      </c>
      <c r="D180" s="7">
        <v>3</v>
      </c>
      <c r="E180" s="7" t="s">
        <v>262</v>
      </c>
      <c r="F180" s="7" t="s">
        <v>263</v>
      </c>
    </row>
    <row r="181" customHeight="1" spans="1:6">
      <c r="A181" s="24" t="s">
        <v>249</v>
      </c>
      <c r="B181" s="5" t="s">
        <v>250</v>
      </c>
      <c r="C181" s="6" t="s">
        <v>264</v>
      </c>
      <c r="D181" s="7">
        <v>3</v>
      </c>
      <c r="E181" s="7">
        <v>235</v>
      </c>
      <c r="F181" s="7">
        <v>705</v>
      </c>
    </row>
    <row r="182" customHeight="1" spans="1:6">
      <c r="A182" s="24" t="s">
        <v>249</v>
      </c>
      <c r="B182" s="5" t="s">
        <v>250</v>
      </c>
      <c r="C182" s="6" t="s">
        <v>265</v>
      </c>
      <c r="D182" s="7">
        <v>3</v>
      </c>
      <c r="E182" s="7" t="s">
        <v>247</v>
      </c>
      <c r="F182" s="7" t="s">
        <v>266</v>
      </c>
    </row>
    <row r="183" customHeight="1" spans="1:6">
      <c r="A183" s="24" t="s">
        <v>249</v>
      </c>
      <c r="B183" s="5" t="s">
        <v>250</v>
      </c>
      <c r="C183" s="6" t="s">
        <v>267</v>
      </c>
      <c r="D183" s="7">
        <v>3</v>
      </c>
      <c r="E183" s="7" t="s">
        <v>268</v>
      </c>
      <c r="F183" s="7" t="s">
        <v>269</v>
      </c>
    </row>
    <row r="184" customHeight="1" spans="1:6">
      <c r="A184" s="24" t="s">
        <v>249</v>
      </c>
      <c r="B184" s="5" t="s">
        <v>250</v>
      </c>
      <c r="C184" s="6" t="s">
        <v>270</v>
      </c>
      <c r="D184" s="7">
        <v>3</v>
      </c>
      <c r="E184" s="7" t="s">
        <v>271</v>
      </c>
      <c r="F184" s="7" t="s">
        <v>272</v>
      </c>
    </row>
    <row r="185" customHeight="1" spans="1:6">
      <c r="A185" s="24" t="s">
        <v>249</v>
      </c>
      <c r="B185" s="5" t="s">
        <v>250</v>
      </c>
      <c r="C185" s="6" t="s">
        <v>273</v>
      </c>
      <c r="D185" s="7">
        <v>3</v>
      </c>
      <c r="E185" s="7" t="s">
        <v>274</v>
      </c>
      <c r="F185" s="11">
        <v>45778</v>
      </c>
    </row>
    <row r="186" customHeight="1" spans="1:6">
      <c r="A186" s="24" t="s">
        <v>249</v>
      </c>
      <c r="B186" s="5" t="s">
        <v>250</v>
      </c>
      <c r="C186" s="6" t="s">
        <v>275</v>
      </c>
      <c r="D186" s="7">
        <v>3</v>
      </c>
      <c r="E186" s="7">
        <v>285</v>
      </c>
      <c r="F186" s="7">
        <v>855</v>
      </c>
    </row>
    <row r="187" customHeight="1" spans="1:6">
      <c r="A187" s="24" t="s">
        <v>249</v>
      </c>
      <c r="B187" s="5" t="s">
        <v>250</v>
      </c>
      <c r="C187" s="6" t="s">
        <v>276</v>
      </c>
      <c r="D187" s="7">
        <v>3</v>
      </c>
      <c r="E187" s="7" t="s">
        <v>277</v>
      </c>
      <c r="F187" s="7" t="s">
        <v>278</v>
      </c>
    </row>
    <row r="188" customHeight="1" spans="1:6">
      <c r="A188" s="24" t="s">
        <v>249</v>
      </c>
      <c r="B188" s="5" t="s">
        <v>250</v>
      </c>
      <c r="C188" s="6" t="s">
        <v>279</v>
      </c>
      <c r="D188" s="7">
        <v>3</v>
      </c>
      <c r="E188" s="7" t="s">
        <v>280</v>
      </c>
      <c r="F188" s="7" t="s">
        <v>281</v>
      </c>
    </row>
    <row r="189" customHeight="1" spans="1:6">
      <c r="A189" s="24" t="s">
        <v>249</v>
      </c>
      <c r="B189" s="5" t="s">
        <v>250</v>
      </c>
      <c r="C189" s="6" t="s">
        <v>282</v>
      </c>
      <c r="D189" s="7">
        <v>3</v>
      </c>
      <c r="E189" s="7" t="s">
        <v>283</v>
      </c>
      <c r="F189" s="7" t="s">
        <v>284</v>
      </c>
    </row>
    <row r="190" customHeight="1" spans="1:6">
      <c r="A190" s="24" t="s">
        <v>249</v>
      </c>
      <c r="B190" s="5" t="s">
        <v>285</v>
      </c>
      <c r="C190" s="6" t="s">
        <v>286</v>
      </c>
      <c r="D190" s="7">
        <v>3</v>
      </c>
      <c r="E190" s="8">
        <v>45689</v>
      </c>
      <c r="F190" s="8">
        <v>45811</v>
      </c>
    </row>
    <row r="191" customHeight="1" spans="1:6">
      <c r="A191" s="24" t="s">
        <v>249</v>
      </c>
      <c r="B191" s="5" t="s">
        <v>285</v>
      </c>
      <c r="C191" s="6" t="s">
        <v>287</v>
      </c>
      <c r="D191" s="7">
        <v>3</v>
      </c>
      <c r="E191" s="7" t="s">
        <v>288</v>
      </c>
      <c r="F191" s="7" t="s">
        <v>289</v>
      </c>
    </row>
    <row r="192" customHeight="1" spans="1:6">
      <c r="A192" s="24" t="s">
        <v>249</v>
      </c>
      <c r="B192" s="5" t="s">
        <v>285</v>
      </c>
      <c r="C192" s="6" t="s">
        <v>290</v>
      </c>
      <c r="D192" s="8">
        <v>45811</v>
      </c>
      <c r="E192" s="7">
        <v>9</v>
      </c>
      <c r="F192" s="7" t="s">
        <v>291</v>
      </c>
    </row>
    <row r="193" customHeight="1" spans="1:6">
      <c r="A193" s="24" t="s">
        <v>249</v>
      </c>
      <c r="B193" s="5" t="s">
        <v>285</v>
      </c>
      <c r="C193" s="6" t="s">
        <v>292</v>
      </c>
      <c r="D193" s="8">
        <v>45811</v>
      </c>
      <c r="E193" s="7">
        <v>20</v>
      </c>
      <c r="F193" s="7">
        <v>72</v>
      </c>
    </row>
    <row r="194" customHeight="1" spans="1:6">
      <c r="A194" s="24" t="s">
        <v>249</v>
      </c>
      <c r="B194" s="5" t="s">
        <v>293</v>
      </c>
      <c r="C194" s="6" t="s">
        <v>294</v>
      </c>
      <c r="D194" s="8">
        <v>45841</v>
      </c>
      <c r="E194" s="8">
        <v>45658</v>
      </c>
      <c r="F194" s="11">
        <v>45842</v>
      </c>
    </row>
    <row r="195" customHeight="1" spans="1:6">
      <c r="A195" s="24" t="s">
        <v>249</v>
      </c>
      <c r="B195" s="5" t="s">
        <v>293</v>
      </c>
      <c r="C195" s="6" t="s">
        <v>295</v>
      </c>
      <c r="D195" s="8">
        <v>45841</v>
      </c>
      <c r="E195" s="8">
        <v>45690</v>
      </c>
      <c r="F195" s="7" t="s">
        <v>296</v>
      </c>
    </row>
    <row r="196" customHeight="1" spans="1:6">
      <c r="A196" s="24" t="s">
        <v>249</v>
      </c>
      <c r="B196" s="5" t="s">
        <v>293</v>
      </c>
      <c r="C196" s="6" t="s">
        <v>297</v>
      </c>
      <c r="D196" s="8">
        <v>45841</v>
      </c>
      <c r="E196" s="8">
        <v>45810</v>
      </c>
      <c r="F196" s="7" t="s">
        <v>298</v>
      </c>
    </row>
    <row r="197" customHeight="1" spans="1:6">
      <c r="A197" s="24" t="s">
        <v>249</v>
      </c>
      <c r="B197" s="5" t="s">
        <v>293</v>
      </c>
      <c r="C197" s="6" t="s">
        <v>299</v>
      </c>
      <c r="D197" s="8">
        <v>45841</v>
      </c>
      <c r="E197" s="7">
        <v>3</v>
      </c>
      <c r="F197" s="8">
        <v>45668</v>
      </c>
    </row>
    <row r="198" customHeight="1" spans="1:6">
      <c r="A198" s="24" t="s">
        <v>249</v>
      </c>
      <c r="B198" s="5" t="s">
        <v>293</v>
      </c>
      <c r="C198" s="6" t="s">
        <v>300</v>
      </c>
      <c r="D198" s="8">
        <v>45841</v>
      </c>
      <c r="E198" s="8">
        <v>45691</v>
      </c>
      <c r="F198" s="7" t="s">
        <v>301</v>
      </c>
    </row>
    <row r="199" customHeight="1" spans="1:6">
      <c r="A199" s="24" t="s">
        <v>249</v>
      </c>
      <c r="B199" s="5" t="s">
        <v>293</v>
      </c>
      <c r="C199" s="6" t="s">
        <v>302</v>
      </c>
      <c r="D199" s="8">
        <v>45841</v>
      </c>
      <c r="E199" s="8">
        <v>45690</v>
      </c>
      <c r="F199" s="7" t="s">
        <v>296</v>
      </c>
    </row>
    <row r="200" customHeight="1" spans="1:6">
      <c r="A200" s="24" t="s">
        <v>249</v>
      </c>
      <c r="B200" s="5" t="s">
        <v>293</v>
      </c>
      <c r="C200" s="6" t="s">
        <v>303</v>
      </c>
      <c r="D200" s="8">
        <v>45841</v>
      </c>
      <c r="E200" s="7">
        <v>4</v>
      </c>
      <c r="F200" s="8">
        <v>45883</v>
      </c>
    </row>
    <row r="201" customHeight="1" spans="1:6">
      <c r="A201" s="24" t="s">
        <v>249</v>
      </c>
      <c r="B201" s="5" t="s">
        <v>293</v>
      </c>
      <c r="C201" s="6" t="s">
        <v>304</v>
      </c>
      <c r="D201" s="8">
        <v>45841</v>
      </c>
      <c r="E201" s="7">
        <v>5</v>
      </c>
      <c r="F201" s="8">
        <v>45795</v>
      </c>
    </row>
    <row r="202" customHeight="1" spans="1:6">
      <c r="A202" s="24" t="s">
        <v>249</v>
      </c>
      <c r="B202" s="5" t="s">
        <v>293</v>
      </c>
      <c r="C202" s="6" t="s">
        <v>305</v>
      </c>
      <c r="D202" s="8">
        <v>45841</v>
      </c>
      <c r="E202" s="7">
        <v>5</v>
      </c>
      <c r="F202" s="8">
        <v>45795</v>
      </c>
    </row>
    <row r="203" customHeight="1" spans="1:6">
      <c r="A203" s="24" t="s">
        <v>249</v>
      </c>
      <c r="B203" s="5" t="s">
        <v>293</v>
      </c>
      <c r="C203" s="6" t="s">
        <v>306</v>
      </c>
      <c r="D203" s="8">
        <v>45841</v>
      </c>
      <c r="E203" s="8">
        <v>45781</v>
      </c>
      <c r="F203" s="7" t="s">
        <v>307</v>
      </c>
    </row>
    <row r="204" customHeight="1" spans="1:6">
      <c r="A204" s="24" t="s">
        <v>249</v>
      </c>
      <c r="B204" s="5" t="s">
        <v>293</v>
      </c>
      <c r="C204" s="6" t="s">
        <v>308</v>
      </c>
      <c r="D204" s="8">
        <v>45841</v>
      </c>
      <c r="E204" s="7">
        <v>5</v>
      </c>
      <c r="F204" s="8">
        <v>45795</v>
      </c>
    </row>
    <row r="205" customHeight="1" spans="1:6">
      <c r="A205" s="24" t="s">
        <v>249</v>
      </c>
      <c r="B205" s="24" t="s">
        <v>309</v>
      </c>
      <c r="C205" s="6" t="s">
        <v>310</v>
      </c>
      <c r="D205" s="7">
        <v>36</v>
      </c>
      <c r="E205" s="7">
        <v>13</v>
      </c>
      <c r="F205" s="7">
        <v>468</v>
      </c>
    </row>
    <row r="206" customHeight="1" spans="1:6">
      <c r="A206" s="24" t="s">
        <v>249</v>
      </c>
      <c r="B206" s="24" t="s">
        <v>309</v>
      </c>
      <c r="C206" s="6" t="s">
        <v>311</v>
      </c>
      <c r="D206" s="7">
        <v>36</v>
      </c>
      <c r="E206" s="7">
        <v>20</v>
      </c>
      <c r="F206" s="7">
        <v>720</v>
      </c>
    </row>
    <row r="207" customHeight="1" spans="1:6">
      <c r="A207" s="24" t="s">
        <v>249</v>
      </c>
      <c r="B207" s="24" t="s">
        <v>309</v>
      </c>
      <c r="C207" s="6" t="s">
        <v>312</v>
      </c>
      <c r="D207" s="7">
        <v>48</v>
      </c>
      <c r="E207" s="7">
        <v>13</v>
      </c>
      <c r="F207" s="7">
        <v>624</v>
      </c>
    </row>
    <row r="208" customHeight="1" spans="1:6">
      <c r="A208" s="24" t="s">
        <v>249</v>
      </c>
      <c r="B208" s="24" t="s">
        <v>309</v>
      </c>
      <c r="C208" s="6" t="s">
        <v>313</v>
      </c>
      <c r="D208" s="7">
        <v>48</v>
      </c>
      <c r="E208" s="7">
        <v>20</v>
      </c>
      <c r="F208" s="7">
        <v>960</v>
      </c>
    </row>
    <row r="209" customHeight="1" spans="1:6">
      <c r="A209" s="24" t="s">
        <v>6</v>
      </c>
      <c r="B209" s="12" t="s">
        <v>314</v>
      </c>
      <c r="C209" s="13" t="s">
        <v>10</v>
      </c>
      <c r="D209" s="14">
        <v>45841</v>
      </c>
      <c r="E209" s="15" t="s">
        <v>315</v>
      </c>
      <c r="F209" s="8">
        <v>45962</v>
      </c>
    </row>
    <row r="210" customHeight="1" spans="1:6">
      <c r="A210" s="24" t="s">
        <v>6</v>
      </c>
      <c r="B210" s="12" t="s">
        <v>314</v>
      </c>
      <c r="C210" s="13" t="s">
        <v>8</v>
      </c>
      <c r="D210" s="14">
        <v>45841</v>
      </c>
      <c r="E210" s="15" t="s">
        <v>316</v>
      </c>
      <c r="F210" s="7" t="s">
        <v>317</v>
      </c>
    </row>
    <row r="211" customHeight="1" spans="1:6">
      <c r="A211" s="24" t="s">
        <v>6</v>
      </c>
      <c r="B211" s="12" t="s">
        <v>314</v>
      </c>
      <c r="C211" s="13" t="s">
        <v>12</v>
      </c>
      <c r="D211" s="14">
        <v>45841</v>
      </c>
      <c r="E211" s="15" t="s">
        <v>316</v>
      </c>
      <c r="F211" s="7" t="s">
        <v>317</v>
      </c>
    </row>
    <row r="212" customHeight="1" spans="1:6">
      <c r="A212" s="24" t="s">
        <v>6</v>
      </c>
      <c r="B212" s="12" t="s">
        <v>314</v>
      </c>
      <c r="C212" s="13" t="s">
        <v>15</v>
      </c>
      <c r="D212" s="14">
        <v>45668</v>
      </c>
      <c r="E212" s="15" t="s">
        <v>318</v>
      </c>
      <c r="F212" s="16">
        <v>9435</v>
      </c>
    </row>
    <row r="213" customHeight="1" spans="1:6">
      <c r="A213" s="24" t="s">
        <v>6</v>
      </c>
      <c r="B213" s="12" t="s">
        <v>314</v>
      </c>
      <c r="C213" s="13" t="s">
        <v>18</v>
      </c>
      <c r="D213" s="14">
        <v>45668</v>
      </c>
      <c r="E213" s="14">
        <v>45717</v>
      </c>
      <c r="F213" s="7" t="s">
        <v>319</v>
      </c>
    </row>
    <row r="214" customHeight="1" spans="1:6">
      <c r="A214" s="24" t="s">
        <v>6</v>
      </c>
      <c r="B214" s="12" t="s">
        <v>314</v>
      </c>
      <c r="C214" s="13" t="s">
        <v>19</v>
      </c>
      <c r="D214" s="14">
        <v>45668</v>
      </c>
      <c r="E214" s="14">
        <v>45748</v>
      </c>
      <c r="F214" s="7" t="s">
        <v>320</v>
      </c>
    </row>
    <row r="215" customHeight="1" spans="1:6">
      <c r="A215" s="24" t="s">
        <v>6</v>
      </c>
      <c r="B215" s="12" t="s">
        <v>314</v>
      </c>
      <c r="C215" s="13" t="s">
        <v>16</v>
      </c>
      <c r="D215" s="14">
        <v>45668</v>
      </c>
      <c r="E215" s="14">
        <v>45778</v>
      </c>
      <c r="F215" s="7" t="s">
        <v>307</v>
      </c>
    </row>
    <row r="216" customHeight="1" spans="1:6">
      <c r="A216" s="24" t="s">
        <v>6</v>
      </c>
      <c r="B216" s="12" t="s">
        <v>314</v>
      </c>
      <c r="C216" s="13" t="s">
        <v>23</v>
      </c>
      <c r="D216" s="14">
        <v>45883</v>
      </c>
      <c r="E216" s="14">
        <v>45717</v>
      </c>
      <c r="F216" s="7" t="s">
        <v>321</v>
      </c>
    </row>
    <row r="217" customHeight="1" spans="1:6">
      <c r="A217" s="24" t="s">
        <v>6</v>
      </c>
      <c r="B217" s="12" t="s">
        <v>314</v>
      </c>
      <c r="C217" s="13" t="s">
        <v>322</v>
      </c>
      <c r="D217" s="14">
        <v>45883</v>
      </c>
      <c r="E217" s="14">
        <v>45717</v>
      </c>
      <c r="F217" s="7" t="s">
        <v>321</v>
      </c>
    </row>
    <row r="218" customHeight="1" spans="1:6">
      <c r="A218" s="24" t="s">
        <v>6</v>
      </c>
      <c r="B218" s="12" t="s">
        <v>314</v>
      </c>
      <c r="C218" s="13" t="s">
        <v>323</v>
      </c>
      <c r="D218" s="14">
        <v>45883</v>
      </c>
      <c r="E218" s="14">
        <v>45717</v>
      </c>
      <c r="F218" s="7" t="s">
        <v>321</v>
      </c>
    </row>
    <row r="219" customHeight="1" spans="1:6">
      <c r="A219" s="24" t="s">
        <v>6</v>
      </c>
      <c r="B219" s="12" t="s">
        <v>314</v>
      </c>
      <c r="C219" s="17" t="s">
        <v>324</v>
      </c>
      <c r="D219" s="14">
        <v>45883</v>
      </c>
      <c r="E219" s="14">
        <v>45717</v>
      </c>
      <c r="F219" s="7" t="s">
        <v>321</v>
      </c>
    </row>
    <row r="220" customHeight="1" spans="1:6">
      <c r="A220" s="24" t="s">
        <v>6</v>
      </c>
      <c r="B220" s="12" t="s">
        <v>314</v>
      </c>
      <c r="C220" s="13" t="s">
        <v>325</v>
      </c>
      <c r="D220" s="14">
        <v>45883</v>
      </c>
      <c r="E220" s="15" t="s">
        <v>288</v>
      </c>
      <c r="F220" s="7" t="s">
        <v>326</v>
      </c>
    </row>
    <row r="221" customHeight="1" spans="1:6">
      <c r="A221" s="24" t="s">
        <v>6</v>
      </c>
      <c r="B221" s="12" t="s">
        <v>314</v>
      </c>
      <c r="C221" s="13" t="s">
        <v>327</v>
      </c>
      <c r="D221" s="14">
        <v>45883</v>
      </c>
      <c r="E221" s="15" t="s">
        <v>288</v>
      </c>
      <c r="F221" s="7" t="s">
        <v>326</v>
      </c>
    </row>
    <row r="222" customHeight="1" spans="1:6">
      <c r="A222" s="24" t="s">
        <v>6</v>
      </c>
      <c r="B222" s="12" t="s">
        <v>314</v>
      </c>
      <c r="C222" s="13" t="s">
        <v>20</v>
      </c>
      <c r="D222" s="14">
        <v>45668</v>
      </c>
      <c r="E222" s="14">
        <v>45659</v>
      </c>
      <c r="F222" s="7" t="s">
        <v>328</v>
      </c>
    </row>
    <row r="223" customHeight="1" spans="1:6">
      <c r="A223" s="24" t="s">
        <v>6</v>
      </c>
      <c r="B223" s="12" t="s">
        <v>314</v>
      </c>
      <c r="C223" s="17" t="s">
        <v>329</v>
      </c>
      <c r="D223" s="14">
        <v>45795</v>
      </c>
      <c r="E223" s="14">
        <v>45717</v>
      </c>
      <c r="F223" s="11">
        <v>45801</v>
      </c>
    </row>
    <row r="224" customHeight="1" spans="1:6">
      <c r="A224" s="24" t="s">
        <v>6</v>
      </c>
      <c r="B224" s="12" t="s">
        <v>314</v>
      </c>
      <c r="C224" s="13" t="s">
        <v>17</v>
      </c>
      <c r="D224" s="14">
        <v>45758</v>
      </c>
      <c r="E224" s="14">
        <v>45690</v>
      </c>
      <c r="F224" s="11">
        <v>45894</v>
      </c>
    </row>
    <row r="225" customHeight="1" spans="1:6">
      <c r="A225" s="24" t="s">
        <v>6</v>
      </c>
      <c r="B225" s="12" t="s">
        <v>314</v>
      </c>
      <c r="C225" s="13" t="s">
        <v>13</v>
      </c>
      <c r="D225" s="14">
        <v>45754</v>
      </c>
      <c r="E225" s="15">
        <v>5</v>
      </c>
      <c r="F225" s="7">
        <v>37</v>
      </c>
    </row>
    <row r="226" customHeight="1" spans="1:6">
      <c r="A226" s="24" t="s">
        <v>6</v>
      </c>
      <c r="B226" s="12" t="s">
        <v>314</v>
      </c>
      <c r="C226" s="13" t="s">
        <v>21</v>
      </c>
      <c r="D226" s="14">
        <v>45883</v>
      </c>
      <c r="E226" s="15">
        <v>3</v>
      </c>
      <c r="F226" s="7" t="s">
        <v>330</v>
      </c>
    </row>
    <row r="227" customHeight="1" spans="1:6">
      <c r="A227" s="24" t="s">
        <v>6</v>
      </c>
      <c r="B227" s="12" t="s">
        <v>314</v>
      </c>
      <c r="C227" s="17" t="s">
        <v>331</v>
      </c>
      <c r="D227" s="14">
        <v>45710</v>
      </c>
      <c r="E227" s="14">
        <v>45810</v>
      </c>
      <c r="F227" s="7" t="s">
        <v>332</v>
      </c>
    </row>
    <row r="228" customHeight="1" spans="1:6">
      <c r="A228" s="24" t="s">
        <v>6</v>
      </c>
      <c r="B228" s="12" t="s">
        <v>314</v>
      </c>
      <c r="C228" s="17" t="s">
        <v>333</v>
      </c>
      <c r="D228" s="14">
        <v>45795</v>
      </c>
      <c r="E228" s="15">
        <v>4</v>
      </c>
      <c r="F228" s="7">
        <v>74</v>
      </c>
    </row>
    <row r="229" customHeight="1" spans="1:6">
      <c r="A229" s="24" t="s">
        <v>6</v>
      </c>
      <c r="B229" s="12" t="s">
        <v>314</v>
      </c>
      <c r="C229" s="17" t="s">
        <v>334</v>
      </c>
      <c r="D229" s="14">
        <v>45795</v>
      </c>
      <c r="E229" s="15">
        <v>5</v>
      </c>
      <c r="F229" s="7" t="s">
        <v>335</v>
      </c>
    </row>
    <row r="230" customHeight="1" spans="1:6">
      <c r="A230" s="24" t="s">
        <v>6</v>
      </c>
      <c r="B230" s="12" t="s">
        <v>314</v>
      </c>
      <c r="C230" s="17" t="s">
        <v>336</v>
      </c>
      <c r="D230" s="14">
        <v>45710</v>
      </c>
      <c r="E230" s="15">
        <v>12</v>
      </c>
      <c r="F230" s="7" t="s">
        <v>337</v>
      </c>
    </row>
    <row r="231" customHeight="1" spans="1:6">
      <c r="A231" s="24" t="s">
        <v>6</v>
      </c>
      <c r="B231" s="12" t="s">
        <v>314</v>
      </c>
      <c r="C231" s="17" t="s">
        <v>338</v>
      </c>
      <c r="D231" s="14">
        <v>45710</v>
      </c>
      <c r="E231" s="15">
        <v>16</v>
      </c>
      <c r="F231" s="7" t="s">
        <v>339</v>
      </c>
    </row>
    <row r="232" customHeight="1" spans="1:6">
      <c r="A232" s="26" t="s">
        <v>340</v>
      </c>
      <c r="B232" s="12" t="s">
        <v>341</v>
      </c>
      <c r="C232" s="17" t="s">
        <v>342</v>
      </c>
      <c r="D232" s="14">
        <v>45689</v>
      </c>
      <c r="E232" s="14">
        <v>45749</v>
      </c>
      <c r="F232" s="7" t="s">
        <v>343</v>
      </c>
    </row>
    <row r="233" customHeight="1" spans="1:6">
      <c r="A233" s="26" t="s">
        <v>340</v>
      </c>
      <c r="B233" s="12" t="s">
        <v>344</v>
      </c>
      <c r="C233" s="18" t="s">
        <v>345</v>
      </c>
      <c r="D233" s="14">
        <v>45749</v>
      </c>
      <c r="E233" s="14">
        <v>45748</v>
      </c>
      <c r="F233" s="7" t="s">
        <v>346</v>
      </c>
    </row>
    <row r="234" customHeight="1" spans="1:6">
      <c r="A234" s="26" t="s">
        <v>347</v>
      </c>
      <c r="B234" s="13" t="s">
        <v>348</v>
      </c>
      <c r="C234" s="17" t="s">
        <v>349</v>
      </c>
      <c r="D234" s="15" t="s">
        <v>288</v>
      </c>
      <c r="E234" s="19">
        <v>18</v>
      </c>
      <c r="F234" s="16">
        <v>279</v>
      </c>
    </row>
    <row r="235" customHeight="1" spans="1:6">
      <c r="A235" s="26" t="s">
        <v>347</v>
      </c>
      <c r="B235" s="13" t="s">
        <v>348</v>
      </c>
      <c r="C235" s="17" t="s">
        <v>350</v>
      </c>
      <c r="D235" s="15" t="s">
        <v>288</v>
      </c>
      <c r="E235" s="20">
        <v>23</v>
      </c>
      <c r="F235" s="16">
        <v>3565</v>
      </c>
    </row>
    <row r="236" customHeight="1" spans="1:6">
      <c r="A236" s="26" t="s">
        <v>347</v>
      </c>
      <c r="B236" s="13" t="s">
        <v>348</v>
      </c>
      <c r="C236" s="17" t="s">
        <v>351</v>
      </c>
      <c r="D236" s="15" t="s">
        <v>288</v>
      </c>
      <c r="E236" s="19">
        <v>24</v>
      </c>
      <c r="F236" s="16">
        <v>372</v>
      </c>
    </row>
    <row r="237" customHeight="1" spans="1:6">
      <c r="A237" s="26" t="s">
        <v>347</v>
      </c>
      <c r="B237" s="13" t="s">
        <v>348</v>
      </c>
      <c r="C237" s="17" t="s">
        <v>352</v>
      </c>
      <c r="D237" s="15" t="s">
        <v>288</v>
      </c>
      <c r="E237" s="19">
        <v>28</v>
      </c>
      <c r="F237" s="16">
        <v>434</v>
      </c>
    </row>
    <row r="238" customHeight="1" spans="1:6">
      <c r="A238" s="26" t="s">
        <v>347</v>
      </c>
      <c r="B238" s="13" t="s">
        <v>348</v>
      </c>
      <c r="C238" s="17" t="s">
        <v>353</v>
      </c>
      <c r="D238" s="15" t="s">
        <v>288</v>
      </c>
      <c r="E238" s="19">
        <v>46</v>
      </c>
      <c r="F238" s="16">
        <v>713</v>
      </c>
    </row>
    <row r="239" customHeight="1" spans="1:6">
      <c r="A239" s="26" t="s">
        <v>347</v>
      </c>
      <c r="B239" s="13" t="s">
        <v>348</v>
      </c>
      <c r="C239" s="17" t="s">
        <v>354</v>
      </c>
      <c r="D239" s="15" t="s">
        <v>288</v>
      </c>
      <c r="E239" s="21" t="s">
        <v>355</v>
      </c>
      <c r="F239" s="16">
        <v>93</v>
      </c>
    </row>
    <row r="240" customHeight="1" spans="1:6">
      <c r="A240" s="26" t="s">
        <v>347</v>
      </c>
      <c r="B240" s="13" t="s">
        <v>348</v>
      </c>
      <c r="C240" s="17" t="s">
        <v>356</v>
      </c>
      <c r="D240" s="15" t="s">
        <v>288</v>
      </c>
      <c r="E240" s="22" t="s">
        <v>259</v>
      </c>
      <c r="F240" s="16">
        <v>124</v>
      </c>
    </row>
    <row r="241" customHeight="1" spans="1:6">
      <c r="A241" s="26" t="s">
        <v>347</v>
      </c>
      <c r="B241" s="13" t="s">
        <v>348</v>
      </c>
      <c r="C241" s="17" t="s">
        <v>357</v>
      </c>
      <c r="D241" s="15" t="s">
        <v>288</v>
      </c>
      <c r="E241" s="19">
        <v>85</v>
      </c>
      <c r="F241" s="16">
        <v>13175</v>
      </c>
    </row>
    <row r="242" customHeight="1" spans="1:6">
      <c r="A242" s="24" t="s">
        <v>358</v>
      </c>
      <c r="B242" s="13" t="s">
        <v>359</v>
      </c>
      <c r="C242" s="6" t="s">
        <v>360</v>
      </c>
      <c r="D242" s="8">
        <v>45691</v>
      </c>
      <c r="E242" s="7">
        <v>2</v>
      </c>
      <c r="F242" s="8">
        <v>45753</v>
      </c>
    </row>
    <row r="243" customHeight="1" spans="1:6">
      <c r="A243" s="24" t="s">
        <v>358</v>
      </c>
      <c r="B243" s="13" t="s">
        <v>359</v>
      </c>
      <c r="C243" s="6" t="s">
        <v>361</v>
      </c>
      <c r="D243" s="8">
        <v>45691</v>
      </c>
      <c r="E243" s="7">
        <v>3</v>
      </c>
      <c r="F243" s="8">
        <v>45817</v>
      </c>
    </row>
    <row r="244" customHeight="1" spans="1:6">
      <c r="A244" s="24" t="s">
        <v>358</v>
      </c>
      <c r="B244" s="13" t="s">
        <v>359</v>
      </c>
      <c r="C244" s="6" t="s">
        <v>362</v>
      </c>
      <c r="D244" s="8">
        <v>45691</v>
      </c>
      <c r="E244" s="8">
        <v>45750</v>
      </c>
      <c r="F244" s="7" t="s">
        <v>363</v>
      </c>
    </row>
    <row r="245" customHeight="1" spans="1:6">
      <c r="A245" s="24" t="s">
        <v>358</v>
      </c>
      <c r="B245" s="13" t="s">
        <v>359</v>
      </c>
      <c r="C245" s="6" t="s">
        <v>364</v>
      </c>
      <c r="D245" s="8">
        <v>45691</v>
      </c>
      <c r="E245" s="8">
        <v>45781</v>
      </c>
      <c r="F245" s="8">
        <v>45761</v>
      </c>
    </row>
    <row r="246" customHeight="1" spans="1:6">
      <c r="A246" s="24" t="s">
        <v>358</v>
      </c>
      <c r="B246" s="13" t="s">
        <v>365</v>
      </c>
      <c r="C246" s="6" t="s">
        <v>366</v>
      </c>
      <c r="D246" s="8">
        <v>45691</v>
      </c>
      <c r="E246" s="8">
        <v>45718</v>
      </c>
      <c r="F246" s="7" t="s">
        <v>367</v>
      </c>
    </row>
    <row r="247" customHeight="1" spans="1:6">
      <c r="A247" s="24" t="s">
        <v>358</v>
      </c>
      <c r="B247" s="13" t="s">
        <v>368</v>
      </c>
      <c r="C247" s="6" t="s">
        <v>369</v>
      </c>
      <c r="D247" s="8">
        <v>45881</v>
      </c>
      <c r="E247" s="7">
        <v>3</v>
      </c>
      <c r="F247" s="7" t="s">
        <v>370</v>
      </c>
    </row>
    <row r="248" customHeight="1" spans="1:6">
      <c r="A248" s="24" t="s">
        <v>358</v>
      </c>
      <c r="B248" s="13" t="s">
        <v>368</v>
      </c>
      <c r="C248" s="6" t="s">
        <v>371</v>
      </c>
      <c r="D248" s="8">
        <v>45881</v>
      </c>
      <c r="E248" s="7">
        <v>4</v>
      </c>
      <c r="F248" s="7" t="s">
        <v>372</v>
      </c>
    </row>
    <row r="249" customHeight="1" spans="1:6">
      <c r="A249" s="24" t="s">
        <v>358</v>
      </c>
      <c r="B249" s="13" t="s">
        <v>368</v>
      </c>
      <c r="C249" s="6" t="s">
        <v>373</v>
      </c>
      <c r="D249" s="8">
        <v>45881</v>
      </c>
      <c r="E249" s="7">
        <v>6</v>
      </c>
      <c r="F249" s="7" t="s">
        <v>374</v>
      </c>
    </row>
    <row r="250" customHeight="1" spans="1:6">
      <c r="A250" s="24" t="s">
        <v>358</v>
      </c>
      <c r="B250" s="13" t="s">
        <v>368</v>
      </c>
      <c r="C250" s="6" t="s">
        <v>375</v>
      </c>
      <c r="D250" s="8">
        <v>45881</v>
      </c>
      <c r="E250" s="7">
        <v>8</v>
      </c>
      <c r="F250" s="7" t="s">
        <v>376</v>
      </c>
    </row>
    <row r="251" customHeight="1" spans="1:6">
      <c r="A251" s="24" t="s">
        <v>358</v>
      </c>
      <c r="B251" s="13" t="s">
        <v>368</v>
      </c>
      <c r="C251" s="6" t="s">
        <v>377</v>
      </c>
      <c r="D251" s="8">
        <v>45817</v>
      </c>
      <c r="E251" s="7">
        <v>4</v>
      </c>
      <c r="F251" s="7" t="s">
        <v>370</v>
      </c>
    </row>
    <row r="252" customHeight="1" spans="1:6">
      <c r="A252" s="24" t="s">
        <v>358</v>
      </c>
      <c r="B252" s="13" t="s">
        <v>368</v>
      </c>
      <c r="C252" s="6" t="s">
        <v>378</v>
      </c>
      <c r="D252" s="8">
        <v>45817</v>
      </c>
      <c r="E252" s="7">
        <v>8</v>
      </c>
      <c r="F252" s="7" t="s">
        <v>374</v>
      </c>
    </row>
    <row r="253" customHeight="1" spans="2:2">
      <c r="B253" s="27"/>
    </row>
    <row r="254" customHeight="1" spans="2:2">
      <c r="B254" s="27"/>
    </row>
    <row r="255" customHeight="1" spans="2:2">
      <c r="B255" s="27"/>
    </row>
    <row r="256" customHeight="1" spans="2:2">
      <c r="B256" s="27"/>
    </row>
    <row r="257" customHeight="1" spans="2:2">
      <c r="B257" s="27"/>
    </row>
    <row r="258" customHeight="1" spans="2:2">
      <c r="B258" s="27"/>
    </row>
    <row r="259" customHeight="1" spans="2:2">
      <c r="B259" s="27"/>
    </row>
    <row r="260" customHeight="1" spans="2:2">
      <c r="B260" s="27"/>
    </row>
    <row r="261" customHeight="1" spans="2:2">
      <c r="B261" s="27"/>
    </row>
    <row r="262" customHeight="1" spans="2:2">
      <c r="B262" s="27"/>
    </row>
    <row r="263" customHeight="1" spans="2:2">
      <c r="B263" s="27"/>
    </row>
    <row r="264" customHeight="1" spans="2:2">
      <c r="B264" s="27"/>
    </row>
    <row r="265" customHeight="1" spans="2:2">
      <c r="B265" s="27"/>
    </row>
    <row r="266" customHeight="1" spans="2:2">
      <c r="B266" s="27"/>
    </row>
    <row r="267" customHeight="1" spans="2:2">
      <c r="B267" s="27"/>
    </row>
    <row r="268" customHeight="1" spans="2:2">
      <c r="B268" s="27"/>
    </row>
    <row r="269" customHeight="1" spans="2:2">
      <c r="B269" s="27"/>
    </row>
    <row r="270" customHeight="1" spans="2:2">
      <c r="B270" s="27"/>
    </row>
    <row r="271" customHeight="1" spans="2:2">
      <c r="B271" s="27"/>
    </row>
    <row r="272" customHeight="1" spans="2:2">
      <c r="B272" s="27"/>
    </row>
    <row r="273" customHeight="1" spans="2:2">
      <c r="B273" s="27"/>
    </row>
    <row r="274" customHeight="1" spans="2:2">
      <c r="B274" s="27"/>
    </row>
    <row r="275" customHeight="1" spans="2:2">
      <c r="B275" s="27"/>
    </row>
    <row r="276" customHeight="1" spans="2:2">
      <c r="B276" s="27"/>
    </row>
    <row r="277" customHeight="1" spans="2:2">
      <c r="B277" s="27"/>
    </row>
    <row r="278" customHeight="1" spans="2:2">
      <c r="B278" s="27"/>
    </row>
    <row r="279" customHeight="1" spans="2:2">
      <c r="B279" s="27"/>
    </row>
    <row r="280" customHeight="1" spans="2:2">
      <c r="B280" s="27"/>
    </row>
    <row r="281" customHeight="1" spans="2:2">
      <c r="B281" s="27"/>
    </row>
    <row r="282" customHeight="1" spans="2:2">
      <c r="B282" s="27"/>
    </row>
    <row r="283" customHeight="1" spans="2:2">
      <c r="B283" s="27"/>
    </row>
    <row r="284" customHeight="1" spans="2:2">
      <c r="B284" s="27"/>
    </row>
    <row r="285" customHeight="1" spans="2:2">
      <c r="B285" s="27"/>
    </row>
    <row r="286" customHeight="1" spans="2:2">
      <c r="B286" s="27"/>
    </row>
    <row r="287" customHeight="1" spans="2:2">
      <c r="B287" s="27"/>
    </row>
    <row r="288" customHeight="1" spans="2:2">
      <c r="B288" s="27"/>
    </row>
    <row r="289" customHeight="1" spans="2:2">
      <c r="B289" s="27"/>
    </row>
    <row r="290" customHeight="1" spans="2:2">
      <c r="B290" s="27"/>
    </row>
    <row r="291" customHeight="1" spans="2:2">
      <c r="B291" s="27"/>
    </row>
    <row r="292" customHeight="1" spans="2:2">
      <c r="B292" s="27"/>
    </row>
    <row r="293" customHeight="1" spans="2:2">
      <c r="B293" s="27"/>
    </row>
    <row r="294" customHeight="1" spans="2:2">
      <c r="B294" s="27"/>
    </row>
    <row r="295" customHeight="1" spans="2:2">
      <c r="B295" s="27"/>
    </row>
    <row r="296" customHeight="1" spans="2:2">
      <c r="B296" s="27"/>
    </row>
    <row r="297" customHeight="1" spans="2:2">
      <c r="B297" s="27"/>
    </row>
    <row r="298" customHeight="1" spans="2:2">
      <c r="B298" s="27"/>
    </row>
    <row r="299" customHeight="1" spans="2:2">
      <c r="B299" s="27"/>
    </row>
    <row r="300" customHeight="1" spans="2:2">
      <c r="B300" s="27"/>
    </row>
    <row r="301" customHeight="1" spans="2:2">
      <c r="B301" s="27"/>
    </row>
    <row r="302" customHeight="1" spans="2:2">
      <c r="B302" s="27"/>
    </row>
    <row r="303" customHeight="1" spans="2:2">
      <c r="B303" s="27"/>
    </row>
    <row r="304" customHeight="1" spans="2:2">
      <c r="B304" s="27"/>
    </row>
    <row r="305" customHeight="1" spans="2:2">
      <c r="B305" s="27"/>
    </row>
    <row r="306" customHeight="1" spans="2:2">
      <c r="B306" s="27"/>
    </row>
    <row r="307" customHeight="1" spans="2:2">
      <c r="B307" s="27"/>
    </row>
    <row r="308" customHeight="1" spans="2:2">
      <c r="B308" s="27"/>
    </row>
    <row r="309" customHeight="1" spans="2:2">
      <c r="B309" s="27"/>
    </row>
    <row r="310" customHeight="1" spans="2:2">
      <c r="B310" s="27"/>
    </row>
    <row r="311" customHeight="1" spans="2:2">
      <c r="B311" s="27"/>
    </row>
    <row r="312" customHeight="1" spans="2:2">
      <c r="B312" s="27"/>
    </row>
    <row r="313" customHeight="1" spans="2:2">
      <c r="B313" s="27"/>
    </row>
    <row r="314" customHeight="1" spans="2:2">
      <c r="B314" s="27"/>
    </row>
    <row r="315" customHeight="1" spans="2:2">
      <c r="B315" s="27"/>
    </row>
    <row r="316" customHeight="1" spans="2:2">
      <c r="B316" s="27"/>
    </row>
    <row r="317" customHeight="1" spans="2:2">
      <c r="B317" s="27"/>
    </row>
    <row r="318" customHeight="1" spans="2:2">
      <c r="B318" s="27"/>
    </row>
    <row r="319" customHeight="1" spans="2:2">
      <c r="B319" s="27"/>
    </row>
    <row r="320" customHeight="1" spans="2:2">
      <c r="B320" s="27"/>
    </row>
    <row r="321" customHeight="1" spans="2:2">
      <c r="B321" s="27"/>
    </row>
    <row r="322" customHeight="1" spans="2:2">
      <c r="B322" s="27"/>
    </row>
    <row r="323" customHeight="1" spans="2:2">
      <c r="B323" s="27"/>
    </row>
    <row r="324" customHeight="1" spans="2:2">
      <c r="B324" s="27"/>
    </row>
    <row r="325" customHeight="1" spans="2:2">
      <c r="B325" s="27"/>
    </row>
    <row r="326" customHeight="1" spans="2:2">
      <c r="B326" s="27"/>
    </row>
    <row r="327" customHeight="1" spans="2:2">
      <c r="B327" s="27"/>
    </row>
    <row r="328" customHeight="1" spans="2:2">
      <c r="B328" s="27"/>
    </row>
    <row r="329" customHeight="1" spans="2:2">
      <c r="B329" s="27"/>
    </row>
    <row r="330" customHeight="1" spans="2:2">
      <c r="B330" s="27"/>
    </row>
    <row r="331" customHeight="1" spans="2:2">
      <c r="B331" s="27"/>
    </row>
    <row r="332" customHeight="1" spans="2:2">
      <c r="B332" s="27"/>
    </row>
    <row r="333" customHeight="1" spans="2:2">
      <c r="B333" s="27"/>
    </row>
    <row r="334" customHeight="1" spans="2:2">
      <c r="B334" s="27"/>
    </row>
    <row r="335" customHeight="1" spans="2:2">
      <c r="B335" s="27"/>
    </row>
    <row r="336" customHeight="1" spans="2:2">
      <c r="B336" s="27"/>
    </row>
    <row r="337" customHeight="1" spans="2:2">
      <c r="B337" s="27"/>
    </row>
    <row r="338" customHeight="1" spans="2:2">
      <c r="B338" s="27"/>
    </row>
    <row r="339" customHeight="1" spans="2:2">
      <c r="B339" s="27"/>
    </row>
    <row r="340" customHeight="1" spans="2:2">
      <c r="B340" s="27"/>
    </row>
    <row r="341" customHeight="1" spans="2:2">
      <c r="B341" s="27"/>
    </row>
    <row r="342" customHeight="1" spans="2:2">
      <c r="B342" s="27"/>
    </row>
    <row r="343" customHeight="1" spans="2:2">
      <c r="B343" s="27"/>
    </row>
    <row r="344" customHeight="1" spans="2:2">
      <c r="B344" s="27"/>
    </row>
    <row r="345" customHeight="1" spans="2:2">
      <c r="B345" s="27"/>
    </row>
    <row r="346" customHeight="1" spans="2:2">
      <c r="B346" s="27"/>
    </row>
    <row r="347" customHeight="1" spans="2:2">
      <c r="B347" s="27"/>
    </row>
    <row r="348" customHeight="1" spans="2:2">
      <c r="B348" s="27"/>
    </row>
    <row r="349" customHeight="1" spans="2:2">
      <c r="B349" s="27"/>
    </row>
    <row r="350" customHeight="1" spans="2:2">
      <c r="B350" s="27"/>
    </row>
    <row r="351" customHeight="1" spans="2:2">
      <c r="B351" s="27"/>
    </row>
    <row r="352" customHeight="1" spans="2:2">
      <c r="B352" s="27"/>
    </row>
    <row r="353" customHeight="1" spans="2:2">
      <c r="B353" s="27"/>
    </row>
    <row r="354" customHeight="1" spans="2:2">
      <c r="B354" s="27"/>
    </row>
    <row r="355" customHeight="1" spans="2:2">
      <c r="B355" s="27"/>
    </row>
    <row r="356" customHeight="1" spans="2:2">
      <c r="B356" s="27"/>
    </row>
    <row r="357" customHeight="1" spans="2:2">
      <c r="B357" s="27"/>
    </row>
    <row r="358" customHeight="1" spans="2:2">
      <c r="B358" s="27"/>
    </row>
    <row r="359" customHeight="1" spans="2:2">
      <c r="B359" s="27"/>
    </row>
    <row r="360" customHeight="1" spans="2:2">
      <c r="B360" s="27"/>
    </row>
    <row r="361" customHeight="1" spans="2:2">
      <c r="B361" s="27"/>
    </row>
    <row r="362" customHeight="1" spans="2:2">
      <c r="B362" s="27"/>
    </row>
    <row r="363" customHeight="1" spans="2:2">
      <c r="B363" s="27"/>
    </row>
    <row r="364" customHeight="1" spans="2:2">
      <c r="B364" s="27"/>
    </row>
    <row r="365" customHeight="1" spans="2:2">
      <c r="B365" s="27"/>
    </row>
    <row r="366" customHeight="1" spans="2:2">
      <c r="B366" s="27"/>
    </row>
    <row r="367" customHeight="1" spans="2:2">
      <c r="B367" s="27"/>
    </row>
    <row r="368" customHeight="1" spans="2:2">
      <c r="B368" s="27"/>
    </row>
    <row r="369" customHeight="1" spans="2:2">
      <c r="B369" s="27"/>
    </row>
    <row r="370" customHeight="1" spans="2:2">
      <c r="B370" s="27"/>
    </row>
    <row r="371" customHeight="1" spans="2:2">
      <c r="B371" s="27"/>
    </row>
    <row r="372" customHeight="1" spans="2:2">
      <c r="B372" s="27"/>
    </row>
    <row r="373" customHeight="1" spans="2:2">
      <c r="B373" s="27"/>
    </row>
    <row r="374" customHeight="1" spans="2:2">
      <c r="B374" s="27"/>
    </row>
    <row r="375" customHeight="1" spans="2:2">
      <c r="B375" s="27"/>
    </row>
    <row r="376" customHeight="1" spans="2:2">
      <c r="B376" s="27"/>
    </row>
    <row r="377" customHeight="1" spans="2:2">
      <c r="B377" s="27"/>
    </row>
    <row r="378" customHeight="1" spans="2:2">
      <c r="B378" s="27"/>
    </row>
    <row r="379" customHeight="1" spans="2:2">
      <c r="B379" s="27"/>
    </row>
    <row r="380" customHeight="1" spans="2:2">
      <c r="B380" s="27"/>
    </row>
    <row r="381" customHeight="1" spans="2:2">
      <c r="B381" s="27"/>
    </row>
    <row r="382" customHeight="1" spans="2:2">
      <c r="B382" s="27"/>
    </row>
    <row r="383" customHeight="1" spans="2:2">
      <c r="B383" s="27"/>
    </row>
    <row r="384" customHeight="1" spans="2:2">
      <c r="B384" s="27"/>
    </row>
    <row r="385" customHeight="1" spans="2:2">
      <c r="B385" s="27"/>
    </row>
    <row r="386" customHeight="1" spans="2:2">
      <c r="B386" s="27"/>
    </row>
    <row r="387" customHeight="1" spans="2:2">
      <c r="B387" s="27"/>
    </row>
    <row r="388" customHeight="1" spans="2:2">
      <c r="B388" s="27"/>
    </row>
    <row r="389" customHeight="1" spans="2:2">
      <c r="B389" s="27"/>
    </row>
    <row r="390" customHeight="1" spans="2:2">
      <c r="B390" s="27"/>
    </row>
    <row r="391" customHeight="1" spans="2:2">
      <c r="B391" s="27"/>
    </row>
    <row r="392" customHeight="1" spans="2:2">
      <c r="B392" s="27"/>
    </row>
    <row r="393" customHeight="1" spans="2:2">
      <c r="B393" s="27"/>
    </row>
    <row r="394" customHeight="1" spans="2:2">
      <c r="B394" s="27"/>
    </row>
    <row r="395" customHeight="1" spans="2:2">
      <c r="B395" s="27"/>
    </row>
    <row r="396" customHeight="1" spans="2:2">
      <c r="B396" s="27"/>
    </row>
    <row r="397" customHeight="1" spans="2:2">
      <c r="B397" s="27"/>
    </row>
    <row r="398" customHeight="1" spans="2:2">
      <c r="B398" s="27"/>
    </row>
    <row r="399" customHeight="1" spans="2:2">
      <c r="B399" s="27"/>
    </row>
    <row r="400" customHeight="1" spans="2:2">
      <c r="B400" s="27"/>
    </row>
    <row r="401" customHeight="1" spans="2:2">
      <c r="B401" s="27"/>
    </row>
    <row r="402" customHeight="1" spans="2:2">
      <c r="B402" s="27"/>
    </row>
    <row r="403" customHeight="1" spans="2:2">
      <c r="B403" s="27"/>
    </row>
    <row r="404" customHeight="1" spans="2:2">
      <c r="B404" s="27"/>
    </row>
    <row r="405" customHeight="1" spans="2:2">
      <c r="B405" s="27"/>
    </row>
    <row r="406" customHeight="1" spans="2:2">
      <c r="B406" s="27"/>
    </row>
    <row r="407" customHeight="1" spans="2:2">
      <c r="B407" s="27"/>
    </row>
    <row r="408" customHeight="1" spans="2:2">
      <c r="B408" s="27"/>
    </row>
    <row r="409" customHeight="1" spans="2:2">
      <c r="B409" s="27"/>
    </row>
    <row r="410" customHeight="1" spans="2:2">
      <c r="B410" s="27"/>
    </row>
    <row r="411" customHeight="1" spans="2:2">
      <c r="B411" s="27"/>
    </row>
    <row r="412" customHeight="1" spans="2:2">
      <c r="B412" s="27"/>
    </row>
    <row r="413" customHeight="1" spans="2:2">
      <c r="B413" s="27"/>
    </row>
    <row r="414" customHeight="1" spans="2:2">
      <c r="B414" s="27"/>
    </row>
    <row r="415" customHeight="1" spans="2:2">
      <c r="B415" s="27"/>
    </row>
    <row r="416" customHeight="1" spans="2:2">
      <c r="B416" s="27"/>
    </row>
    <row r="417" customHeight="1" spans="2:2">
      <c r="B417" s="27"/>
    </row>
    <row r="418" customHeight="1" spans="2:2">
      <c r="B418" s="27"/>
    </row>
    <row r="419" customHeight="1" spans="2:2">
      <c r="B419" s="27"/>
    </row>
    <row r="420" customHeight="1" spans="2:2">
      <c r="B420" s="27"/>
    </row>
    <row r="421" customHeight="1" spans="2:2">
      <c r="B421" s="27"/>
    </row>
    <row r="422" customHeight="1" spans="2:2">
      <c r="B422" s="27"/>
    </row>
    <row r="423" customHeight="1" spans="2:2">
      <c r="B423" s="27"/>
    </row>
    <row r="424" customHeight="1" spans="2:2">
      <c r="B424" s="27"/>
    </row>
    <row r="425" customHeight="1" spans="2:2">
      <c r="B425" s="27"/>
    </row>
    <row r="426" customHeight="1" spans="2:2">
      <c r="B426" s="27"/>
    </row>
    <row r="427" customHeight="1" spans="2:2">
      <c r="B427" s="27"/>
    </row>
    <row r="428" customHeight="1" spans="2:2">
      <c r="B428" s="27"/>
    </row>
    <row r="429" customHeight="1" spans="2:2">
      <c r="B429" s="27"/>
    </row>
    <row r="430" customHeight="1" spans="2:2">
      <c r="B430" s="27"/>
    </row>
    <row r="431" customHeight="1" spans="2:2">
      <c r="B431" s="27"/>
    </row>
    <row r="432" customHeight="1" spans="2:2">
      <c r="B432" s="27"/>
    </row>
    <row r="433" customHeight="1" spans="2:2">
      <c r="B433" s="27"/>
    </row>
    <row r="434" customHeight="1" spans="2:2">
      <c r="B434" s="27"/>
    </row>
    <row r="435" customHeight="1" spans="2:2">
      <c r="B435" s="27"/>
    </row>
    <row r="436" customHeight="1" spans="2:2">
      <c r="B436" s="27"/>
    </row>
    <row r="437" customHeight="1" spans="2:2">
      <c r="B437" s="27"/>
    </row>
    <row r="438" customHeight="1" spans="2:2">
      <c r="B438" s="27"/>
    </row>
    <row r="439" customHeight="1" spans="2:2">
      <c r="B439" s="27"/>
    </row>
    <row r="440" customHeight="1" spans="2:2">
      <c r="B440" s="27"/>
    </row>
    <row r="441" customHeight="1" spans="2:2">
      <c r="B441" s="27"/>
    </row>
    <row r="442" customHeight="1" spans="2:2">
      <c r="B442" s="27"/>
    </row>
    <row r="443" customHeight="1" spans="2:2">
      <c r="B443" s="27"/>
    </row>
    <row r="444" customHeight="1" spans="2:2">
      <c r="B444" s="27"/>
    </row>
    <row r="445" customHeight="1" spans="2:2">
      <c r="B445" s="27"/>
    </row>
    <row r="446" customHeight="1" spans="2:2">
      <c r="B446" s="27"/>
    </row>
    <row r="447" customHeight="1" spans="2:2">
      <c r="B447" s="27"/>
    </row>
    <row r="448" customHeight="1" spans="2:2">
      <c r="B448" s="27"/>
    </row>
    <row r="449" customHeight="1" spans="2:2">
      <c r="B449" s="27"/>
    </row>
    <row r="450" customHeight="1" spans="2:2">
      <c r="B450" s="27"/>
    </row>
    <row r="451" customHeight="1" spans="2:2">
      <c r="B451" s="27"/>
    </row>
    <row r="452" customHeight="1" spans="2:2">
      <c r="B452" s="27"/>
    </row>
    <row r="453" customHeight="1" spans="2:2">
      <c r="B453" s="27"/>
    </row>
    <row r="454" customHeight="1" spans="2:2">
      <c r="B454" s="27"/>
    </row>
    <row r="455" customHeight="1" spans="2:2">
      <c r="B455" s="27"/>
    </row>
    <row r="456" customHeight="1" spans="2:2">
      <c r="B456" s="27"/>
    </row>
    <row r="457" customHeight="1" spans="2:2">
      <c r="B457" s="27"/>
    </row>
    <row r="458" customHeight="1" spans="2:2">
      <c r="B458" s="27"/>
    </row>
    <row r="459" customHeight="1" spans="2:2">
      <c r="B459" s="27"/>
    </row>
    <row r="460" customHeight="1" spans="2:2">
      <c r="B460" s="27"/>
    </row>
    <row r="461" customHeight="1" spans="2:2">
      <c r="B461" s="27"/>
    </row>
    <row r="462" customHeight="1" spans="2:2">
      <c r="B462" s="27"/>
    </row>
    <row r="463" customHeight="1" spans="2:2">
      <c r="B463" s="27"/>
    </row>
    <row r="464" customHeight="1" spans="2:2">
      <c r="B464" s="27"/>
    </row>
    <row r="465" customHeight="1" spans="2:2">
      <c r="B465" s="27"/>
    </row>
    <row r="466" customHeight="1" spans="2:2">
      <c r="B466" s="27"/>
    </row>
    <row r="467" customHeight="1" spans="2:2">
      <c r="B467" s="27"/>
    </row>
    <row r="468" customHeight="1" spans="2:2">
      <c r="B468" s="27"/>
    </row>
    <row r="469" customHeight="1" spans="2:2">
      <c r="B469" s="27"/>
    </row>
    <row r="470" customHeight="1" spans="2:2">
      <c r="B470" s="27"/>
    </row>
    <row r="471" customHeight="1" spans="2:2">
      <c r="B471" s="27"/>
    </row>
    <row r="472" customHeight="1" spans="2:2">
      <c r="B472" s="27"/>
    </row>
    <row r="473" customHeight="1" spans="2:2">
      <c r="B473" s="27"/>
    </row>
    <row r="474" customHeight="1" spans="2:2">
      <c r="B474" s="27"/>
    </row>
    <row r="475" customHeight="1" spans="2:2">
      <c r="B475" s="27"/>
    </row>
    <row r="476" customHeight="1" spans="2:2">
      <c r="B476" s="27"/>
    </row>
    <row r="477" customHeight="1" spans="2:2">
      <c r="B477" s="27"/>
    </row>
    <row r="478" customHeight="1" spans="2:2">
      <c r="B478" s="27"/>
    </row>
    <row r="479" customHeight="1" spans="2:2">
      <c r="B479" s="27"/>
    </row>
    <row r="480" customHeight="1" spans="2:2">
      <c r="B480" s="27"/>
    </row>
    <row r="481" customHeight="1" spans="2:2">
      <c r="B481" s="27"/>
    </row>
    <row r="482" customHeight="1" spans="2:2">
      <c r="B482" s="27"/>
    </row>
    <row r="483" customHeight="1" spans="2:2">
      <c r="B483" s="27"/>
    </row>
    <row r="484" customHeight="1" spans="2:2">
      <c r="B484" s="27"/>
    </row>
    <row r="485" customHeight="1" spans="2:2">
      <c r="B485" s="27"/>
    </row>
    <row r="486" customHeight="1" spans="2:2">
      <c r="B486" s="27"/>
    </row>
    <row r="487" customHeight="1" spans="2:2">
      <c r="B487" s="27"/>
    </row>
    <row r="488" customHeight="1" spans="2:2">
      <c r="B488" s="27"/>
    </row>
    <row r="489" customHeight="1" spans="2:2">
      <c r="B489" s="27"/>
    </row>
    <row r="490" customHeight="1" spans="2:2">
      <c r="B490" s="27"/>
    </row>
    <row r="491" customHeight="1" spans="2:2">
      <c r="B491" s="27"/>
    </row>
    <row r="492" customHeight="1" spans="2:2">
      <c r="B492" s="27"/>
    </row>
    <row r="493" customHeight="1" spans="2:2">
      <c r="B493" s="27"/>
    </row>
    <row r="494" customHeight="1" spans="2:2">
      <c r="B494" s="27"/>
    </row>
    <row r="495" customHeight="1" spans="2:2">
      <c r="B495" s="27"/>
    </row>
    <row r="496" customHeight="1" spans="2:2">
      <c r="B496" s="27"/>
    </row>
    <row r="497" customHeight="1" spans="2:2">
      <c r="B497" s="27"/>
    </row>
    <row r="498" customHeight="1" spans="2:2">
      <c r="B498" s="27"/>
    </row>
    <row r="499" customHeight="1" spans="2:2">
      <c r="B499" s="27"/>
    </row>
    <row r="500" customHeight="1" spans="2:2">
      <c r="B500" s="27"/>
    </row>
    <row r="501" customHeight="1" spans="2:2">
      <c r="B501" s="27"/>
    </row>
    <row r="502" customHeight="1" spans="2:2">
      <c r="B502" s="27"/>
    </row>
    <row r="503" customHeight="1" spans="2:2">
      <c r="B503" s="27"/>
    </row>
    <row r="504" customHeight="1" spans="2:2">
      <c r="B504" s="27"/>
    </row>
    <row r="505" customHeight="1" spans="2:2">
      <c r="B505" s="27"/>
    </row>
    <row r="506" customHeight="1" spans="2:2">
      <c r="B506" s="27"/>
    </row>
    <row r="507" customHeight="1" spans="2:2">
      <c r="B507" s="27"/>
    </row>
    <row r="508" customHeight="1" spans="2:2">
      <c r="B508" s="27"/>
    </row>
    <row r="509" customHeight="1" spans="2:2">
      <c r="B509" s="27"/>
    </row>
    <row r="510" customHeight="1" spans="2:2">
      <c r="B510" s="27"/>
    </row>
    <row r="511" customHeight="1" spans="2:2">
      <c r="B511" s="27"/>
    </row>
    <row r="512" customHeight="1" spans="2:2">
      <c r="B512" s="27"/>
    </row>
    <row r="513" customHeight="1" spans="2:2">
      <c r="B513" s="27"/>
    </row>
    <row r="514" customHeight="1" spans="2:2">
      <c r="B514" s="27"/>
    </row>
    <row r="515" customHeight="1" spans="2:2">
      <c r="B515" s="27"/>
    </row>
    <row r="516" customHeight="1" spans="2:2">
      <c r="B516" s="27"/>
    </row>
    <row r="517" customHeight="1" spans="2:2">
      <c r="B517" s="27"/>
    </row>
    <row r="518" customHeight="1" spans="2:2">
      <c r="B518" s="27"/>
    </row>
    <row r="519" customHeight="1" spans="2:2">
      <c r="B519" s="27"/>
    </row>
    <row r="520" customHeight="1" spans="2:2">
      <c r="B520" s="27"/>
    </row>
    <row r="521" customHeight="1" spans="2:2">
      <c r="B521" s="27"/>
    </row>
    <row r="522" customHeight="1" spans="2:2">
      <c r="B522" s="27"/>
    </row>
    <row r="523" customHeight="1" spans="2:2">
      <c r="B523" s="27"/>
    </row>
    <row r="524" customHeight="1" spans="2:2">
      <c r="B524" s="27"/>
    </row>
    <row r="525" customHeight="1" spans="2:2">
      <c r="B525" s="27"/>
    </row>
    <row r="526" customHeight="1" spans="2:2">
      <c r="B526" s="27"/>
    </row>
    <row r="527" customHeight="1" spans="2:2">
      <c r="B527" s="27"/>
    </row>
    <row r="528" customHeight="1" spans="2:2">
      <c r="B528" s="27"/>
    </row>
    <row r="529" customHeight="1" spans="2:2">
      <c r="B529" s="27"/>
    </row>
    <row r="530" customHeight="1" spans="2:2">
      <c r="B530" s="27"/>
    </row>
    <row r="531" customHeight="1" spans="2:2">
      <c r="B531" s="27"/>
    </row>
    <row r="532" customHeight="1" spans="2:2">
      <c r="B532" s="27"/>
    </row>
    <row r="533" customHeight="1" spans="2:2">
      <c r="B533" s="27"/>
    </row>
    <row r="534" customHeight="1" spans="2:2">
      <c r="B534" s="27"/>
    </row>
    <row r="535" customHeight="1" spans="2:2">
      <c r="B535" s="27"/>
    </row>
    <row r="536" customHeight="1" spans="2:2">
      <c r="B536" s="27"/>
    </row>
    <row r="537" customHeight="1" spans="2:2">
      <c r="B537" s="27"/>
    </row>
    <row r="538" customHeight="1" spans="2:2">
      <c r="B538" s="27"/>
    </row>
    <row r="539" customHeight="1" spans="2:2">
      <c r="B539" s="27"/>
    </row>
    <row r="540" customHeight="1" spans="2:2">
      <c r="B540" s="27"/>
    </row>
    <row r="541" customHeight="1" spans="2:2">
      <c r="B541" s="27"/>
    </row>
    <row r="542" customHeight="1" spans="2:2">
      <c r="B542" s="27"/>
    </row>
    <row r="543" customHeight="1" spans="2:2">
      <c r="B543" s="27"/>
    </row>
    <row r="544" customHeight="1" spans="2:2">
      <c r="B544" s="27"/>
    </row>
    <row r="545" customHeight="1" spans="2:2">
      <c r="B545" s="27"/>
    </row>
    <row r="546" customHeight="1" spans="2:2">
      <c r="B546" s="27"/>
    </row>
    <row r="547" customHeight="1" spans="2:2">
      <c r="B547" s="27"/>
    </row>
    <row r="548" customHeight="1" spans="2:2">
      <c r="B548" s="27"/>
    </row>
    <row r="549" customHeight="1" spans="2:2">
      <c r="B549" s="27"/>
    </row>
    <row r="550" customHeight="1" spans="2:2">
      <c r="B550" s="27"/>
    </row>
    <row r="551" customHeight="1" spans="2:2">
      <c r="B551" s="27"/>
    </row>
    <row r="552" customHeight="1" spans="2:2">
      <c r="B552" s="27"/>
    </row>
    <row r="553" customHeight="1" spans="2:2">
      <c r="B553" s="27"/>
    </row>
    <row r="554" customHeight="1" spans="2:2">
      <c r="B554" s="27"/>
    </row>
    <row r="555" customHeight="1" spans="2:2">
      <c r="B555" s="27"/>
    </row>
    <row r="556" customHeight="1" spans="2:2">
      <c r="B556" s="27"/>
    </row>
    <row r="557" customHeight="1" spans="2:2">
      <c r="B557" s="27"/>
    </row>
    <row r="558" customHeight="1" spans="2:2">
      <c r="B558" s="27"/>
    </row>
    <row r="559" customHeight="1" spans="2:2">
      <c r="B559" s="27"/>
    </row>
    <row r="560" customHeight="1" spans="2:2">
      <c r="B560" s="27"/>
    </row>
    <row r="561" customHeight="1" spans="2:2">
      <c r="B561" s="27"/>
    </row>
    <row r="562" customHeight="1" spans="2:2">
      <c r="B562" s="27"/>
    </row>
    <row r="563" customHeight="1" spans="2:2">
      <c r="B563" s="27"/>
    </row>
    <row r="564" customHeight="1" spans="2:2">
      <c r="B564" s="27"/>
    </row>
    <row r="565" customHeight="1" spans="2:2">
      <c r="B565" s="27"/>
    </row>
    <row r="566" customHeight="1" spans="2:2">
      <c r="B566" s="27"/>
    </row>
    <row r="567" customHeight="1" spans="2:2">
      <c r="B567" s="27"/>
    </row>
    <row r="568" customHeight="1" spans="2:2">
      <c r="B568" s="27"/>
    </row>
    <row r="569" customHeight="1" spans="2:2">
      <c r="B569" s="27"/>
    </row>
    <row r="570" customHeight="1" spans="2:2">
      <c r="B570" s="27"/>
    </row>
    <row r="571" customHeight="1" spans="2:2">
      <c r="B571" s="27"/>
    </row>
    <row r="572" customHeight="1" spans="2:2">
      <c r="B572" s="27"/>
    </row>
    <row r="573" customHeight="1" spans="2:2">
      <c r="B573" s="27"/>
    </row>
    <row r="574" customHeight="1" spans="2:2">
      <c r="B574" s="27"/>
    </row>
    <row r="575" customHeight="1" spans="2:2">
      <c r="B575" s="27"/>
    </row>
    <row r="576" customHeight="1" spans="2:2">
      <c r="B576" s="27"/>
    </row>
    <row r="577" customHeight="1" spans="2:2">
      <c r="B577" s="27"/>
    </row>
    <row r="578" customHeight="1" spans="2:2">
      <c r="B578" s="27"/>
    </row>
    <row r="579" customHeight="1" spans="2:2">
      <c r="B579" s="27"/>
    </row>
    <row r="580" customHeight="1" spans="2:2">
      <c r="B580" s="27"/>
    </row>
    <row r="581" customHeight="1" spans="2:2">
      <c r="B581" s="27"/>
    </row>
    <row r="582" customHeight="1" spans="2:2">
      <c r="B582" s="27"/>
    </row>
    <row r="583" customHeight="1" spans="2:2">
      <c r="B583" s="27"/>
    </row>
    <row r="584" customHeight="1" spans="2:2">
      <c r="B584" s="27"/>
    </row>
    <row r="585" customHeight="1" spans="2:2">
      <c r="B585" s="27"/>
    </row>
    <row r="586" customHeight="1" spans="2:2">
      <c r="B586" s="27"/>
    </row>
    <row r="587" customHeight="1" spans="2:2">
      <c r="B587" s="27"/>
    </row>
    <row r="588" customHeight="1" spans="2:2">
      <c r="B588" s="27"/>
    </row>
    <row r="589" customHeight="1" spans="2:2">
      <c r="B589" s="27"/>
    </row>
    <row r="590" customHeight="1" spans="2:2">
      <c r="B590" s="27"/>
    </row>
    <row r="591" customHeight="1" spans="2:2">
      <c r="B591" s="27"/>
    </row>
    <row r="592" customHeight="1" spans="2:2">
      <c r="B592" s="27"/>
    </row>
    <row r="593" customHeight="1" spans="2:2">
      <c r="B593" s="27"/>
    </row>
    <row r="594" customHeight="1" spans="2:2">
      <c r="B594" s="27"/>
    </row>
    <row r="595" customHeight="1" spans="2:2">
      <c r="B595" s="27"/>
    </row>
    <row r="596" customHeight="1" spans="2:2">
      <c r="B596" s="27"/>
    </row>
    <row r="597" customHeight="1" spans="2:2">
      <c r="B597" s="27"/>
    </row>
    <row r="598" customHeight="1" spans="2:2">
      <c r="B598" s="27"/>
    </row>
    <row r="599" customHeight="1" spans="2:2">
      <c r="B599" s="27"/>
    </row>
    <row r="600" customHeight="1" spans="2:2">
      <c r="B600" s="27"/>
    </row>
    <row r="601" customHeight="1" spans="2:2">
      <c r="B601" s="27"/>
    </row>
    <row r="602" customHeight="1" spans="2:2">
      <c r="B602" s="27"/>
    </row>
    <row r="603" customHeight="1" spans="2:2">
      <c r="B603" s="27"/>
    </row>
    <row r="604" customHeight="1" spans="2:2">
      <c r="B604" s="27"/>
    </row>
    <row r="605" customHeight="1" spans="2:2">
      <c r="B605" s="27"/>
    </row>
    <row r="606" customHeight="1" spans="2:2">
      <c r="B606" s="27"/>
    </row>
    <row r="607" customHeight="1" spans="2:2">
      <c r="B607" s="27"/>
    </row>
    <row r="608" customHeight="1" spans="2:2">
      <c r="B608" s="27"/>
    </row>
    <row r="609" customHeight="1" spans="2:2">
      <c r="B609" s="27"/>
    </row>
    <row r="610" customHeight="1" spans="2:2">
      <c r="B610" s="27"/>
    </row>
    <row r="611" customHeight="1" spans="2:2">
      <c r="B611" s="27"/>
    </row>
    <row r="612" customHeight="1" spans="2:2">
      <c r="B612" s="27"/>
    </row>
    <row r="613" customHeight="1" spans="2:2">
      <c r="B613" s="27"/>
    </row>
    <row r="614" customHeight="1" spans="2:2">
      <c r="B614" s="27"/>
    </row>
    <row r="615" customHeight="1" spans="2:2">
      <c r="B615" s="27"/>
    </row>
    <row r="616" customHeight="1" spans="2:2">
      <c r="B616" s="27"/>
    </row>
    <row r="617" customHeight="1" spans="2:2">
      <c r="B617" s="27"/>
    </row>
    <row r="618" customHeight="1" spans="2:2">
      <c r="B618" s="27"/>
    </row>
    <row r="619" customHeight="1" spans="2:2">
      <c r="B619" s="27"/>
    </row>
    <row r="620" customHeight="1" spans="2:2">
      <c r="B620" s="27"/>
    </row>
    <row r="621" customHeight="1" spans="2:2">
      <c r="B621" s="27"/>
    </row>
    <row r="622" customHeight="1" spans="2:2">
      <c r="B622" s="27"/>
    </row>
    <row r="623" customHeight="1" spans="2:2">
      <c r="B623" s="27"/>
    </row>
    <row r="624" customHeight="1" spans="2:2">
      <c r="B624" s="27"/>
    </row>
    <row r="625" customHeight="1" spans="2:2">
      <c r="B625" s="27"/>
    </row>
    <row r="626" customHeight="1" spans="2:2">
      <c r="B626" s="27"/>
    </row>
    <row r="627" customHeight="1" spans="2:2">
      <c r="B627" s="27"/>
    </row>
    <row r="628" customHeight="1" spans="2:2">
      <c r="B628" s="27"/>
    </row>
    <row r="629" customHeight="1" spans="2:2">
      <c r="B629" s="27"/>
    </row>
    <row r="630" customHeight="1" spans="2:2">
      <c r="B630" s="27"/>
    </row>
    <row r="631" customHeight="1" spans="2:2">
      <c r="B631" s="27"/>
    </row>
    <row r="632" customHeight="1" spans="2:2">
      <c r="B632" s="27"/>
    </row>
    <row r="633" customHeight="1" spans="2:2">
      <c r="B633" s="27"/>
    </row>
    <row r="634" customHeight="1" spans="2:2">
      <c r="B634" s="27"/>
    </row>
    <row r="635" customHeight="1" spans="2:2">
      <c r="B635" s="27"/>
    </row>
    <row r="636" customHeight="1" spans="2:2">
      <c r="B636" s="27"/>
    </row>
    <row r="637" customHeight="1" spans="2:2">
      <c r="B637" s="27"/>
    </row>
    <row r="638" customHeight="1" spans="2:2">
      <c r="B638" s="27"/>
    </row>
    <row r="639" customHeight="1" spans="2:2">
      <c r="B639" s="27"/>
    </row>
    <row r="640" customHeight="1" spans="2:2">
      <c r="B640" s="27"/>
    </row>
    <row r="641" customHeight="1" spans="2:2">
      <c r="B641" s="27"/>
    </row>
    <row r="642" customHeight="1" spans="2:2">
      <c r="B642" s="27"/>
    </row>
    <row r="643" customHeight="1" spans="2:2">
      <c r="B643" s="27"/>
    </row>
    <row r="644" customHeight="1" spans="2:2">
      <c r="B644" s="27"/>
    </row>
    <row r="645" customHeight="1" spans="2:2">
      <c r="B645" s="27"/>
    </row>
    <row r="646" customHeight="1" spans="2:2">
      <c r="B646" s="27"/>
    </row>
    <row r="647" customHeight="1" spans="2:2">
      <c r="B647" s="27"/>
    </row>
    <row r="648" customHeight="1" spans="2:2">
      <c r="B648" s="27"/>
    </row>
    <row r="649" customHeight="1" spans="2:2">
      <c r="B649" s="27"/>
    </row>
    <row r="650" customHeight="1" spans="2:2">
      <c r="B650" s="27"/>
    </row>
    <row r="651" customHeight="1" spans="2:2">
      <c r="B651" s="27"/>
    </row>
    <row r="652" customHeight="1" spans="2:2">
      <c r="B652" s="27"/>
    </row>
    <row r="653" customHeight="1" spans="2:2">
      <c r="B653" s="27"/>
    </row>
    <row r="654" customHeight="1" spans="2:2">
      <c r="B654" s="27"/>
    </row>
    <row r="655" customHeight="1" spans="2:2">
      <c r="B655" s="27"/>
    </row>
    <row r="656" customHeight="1" spans="2:2">
      <c r="B656" s="27"/>
    </row>
    <row r="657" customHeight="1" spans="2:2">
      <c r="B657" s="27"/>
    </row>
    <row r="658" customHeight="1" spans="2:2">
      <c r="B658" s="27"/>
    </row>
    <row r="659" customHeight="1" spans="2:2">
      <c r="B659" s="27"/>
    </row>
    <row r="660" customHeight="1" spans="2:2">
      <c r="B660" s="27"/>
    </row>
    <row r="661" customHeight="1" spans="2:2">
      <c r="B661" s="27"/>
    </row>
    <row r="662" customHeight="1" spans="2:2">
      <c r="B662" s="27"/>
    </row>
    <row r="663" customHeight="1" spans="2:2">
      <c r="B663" s="27"/>
    </row>
    <row r="664" customHeight="1" spans="2:2">
      <c r="B664" s="27"/>
    </row>
    <row r="665" customHeight="1" spans="2:2">
      <c r="B665" s="27"/>
    </row>
    <row r="666" customHeight="1" spans="2:2">
      <c r="B666" s="27"/>
    </row>
    <row r="667" customHeight="1" spans="2:2">
      <c r="B667" s="27"/>
    </row>
    <row r="668" customHeight="1" spans="2:2">
      <c r="B668" s="27"/>
    </row>
    <row r="669" customHeight="1" spans="2:2">
      <c r="B669" s="27"/>
    </row>
    <row r="670" customHeight="1" spans="2:2">
      <c r="B670" s="27"/>
    </row>
    <row r="671" customHeight="1" spans="2:2">
      <c r="B671" s="27"/>
    </row>
    <row r="672" customHeight="1" spans="2:2">
      <c r="B672" s="27"/>
    </row>
    <row r="673" customHeight="1" spans="2:2">
      <c r="B673" s="27"/>
    </row>
    <row r="674" customHeight="1" spans="2:2">
      <c r="B674" s="27"/>
    </row>
    <row r="675" customHeight="1" spans="2:2">
      <c r="B675" s="27"/>
    </row>
    <row r="676" customHeight="1" spans="2:2">
      <c r="B676" s="27"/>
    </row>
    <row r="677" customHeight="1" spans="2:2">
      <c r="B677" s="27"/>
    </row>
    <row r="678" customHeight="1" spans="2:2">
      <c r="B678" s="27"/>
    </row>
    <row r="679" customHeight="1" spans="2:2">
      <c r="B679" s="27"/>
    </row>
    <row r="680" customHeight="1" spans="2:2">
      <c r="B680" s="27"/>
    </row>
    <row r="681" customHeight="1" spans="2:2">
      <c r="B681" s="27"/>
    </row>
    <row r="682" customHeight="1" spans="2:2">
      <c r="B682" s="27"/>
    </row>
    <row r="683" customHeight="1" spans="2:2">
      <c r="B683" s="27"/>
    </row>
    <row r="684" customHeight="1" spans="2:2">
      <c r="B684" s="27"/>
    </row>
    <row r="685" customHeight="1" spans="2:2">
      <c r="B685" s="27"/>
    </row>
    <row r="686" customHeight="1" spans="2:2">
      <c r="B686" s="27"/>
    </row>
    <row r="687" customHeight="1" spans="2:2">
      <c r="B687" s="27"/>
    </row>
    <row r="688" customHeight="1" spans="2:2">
      <c r="B688" s="27"/>
    </row>
    <row r="689" customHeight="1" spans="2:2">
      <c r="B689" s="27"/>
    </row>
    <row r="690" customHeight="1" spans="2:2">
      <c r="B690" s="27"/>
    </row>
    <row r="691" customHeight="1" spans="2:2">
      <c r="B691" s="27"/>
    </row>
    <row r="692" customHeight="1" spans="2:2">
      <c r="B692" s="27"/>
    </row>
    <row r="693" customHeight="1" spans="2:2">
      <c r="B693" s="27"/>
    </row>
    <row r="694" customHeight="1" spans="2:2">
      <c r="B694" s="27"/>
    </row>
    <row r="695" customHeight="1" spans="2:2">
      <c r="B695" s="27"/>
    </row>
    <row r="696" customHeight="1" spans="2:2">
      <c r="B696" s="27"/>
    </row>
    <row r="697" customHeight="1" spans="2:2">
      <c r="B697" s="27"/>
    </row>
    <row r="698" customHeight="1" spans="2:2">
      <c r="B698" s="27"/>
    </row>
    <row r="699" customHeight="1" spans="2:2">
      <c r="B699" s="27"/>
    </row>
    <row r="700" customHeight="1" spans="2:2">
      <c r="B700" s="27"/>
    </row>
    <row r="701" customHeight="1" spans="2:2">
      <c r="B701" s="27"/>
    </row>
    <row r="702" customHeight="1" spans="2:2">
      <c r="B702" s="27"/>
    </row>
    <row r="703" customHeight="1" spans="2:2">
      <c r="B703" s="27"/>
    </row>
    <row r="704" customHeight="1" spans="2:2">
      <c r="B704" s="27"/>
    </row>
    <row r="705" customHeight="1" spans="2:2">
      <c r="B705" s="27"/>
    </row>
    <row r="706" customHeight="1" spans="2:2">
      <c r="B706" s="27"/>
    </row>
    <row r="707" customHeight="1" spans="2:2">
      <c r="B707" s="27"/>
    </row>
    <row r="708" customHeight="1" spans="2:2">
      <c r="B708" s="27"/>
    </row>
    <row r="709" customHeight="1" spans="2:2">
      <c r="B709" s="27"/>
    </row>
    <row r="710" customHeight="1" spans="2:2">
      <c r="B710" s="27"/>
    </row>
    <row r="711" customHeight="1" spans="2:2">
      <c r="B711" s="27"/>
    </row>
    <row r="712" customHeight="1" spans="2:2">
      <c r="B712" s="27"/>
    </row>
    <row r="713" customHeight="1" spans="2:2">
      <c r="B713" s="27"/>
    </row>
    <row r="714" customHeight="1" spans="2:2">
      <c r="B714" s="27"/>
    </row>
    <row r="715" customHeight="1" spans="2:2">
      <c r="B715" s="27"/>
    </row>
    <row r="716" customHeight="1" spans="2:2">
      <c r="B716" s="27"/>
    </row>
    <row r="717" customHeight="1" spans="2:2">
      <c r="B717" s="27"/>
    </row>
    <row r="718" customHeight="1" spans="2:2">
      <c r="B718" s="27"/>
    </row>
    <row r="719" customHeight="1" spans="2:2">
      <c r="B719" s="27"/>
    </row>
    <row r="720" customHeight="1" spans="2:2">
      <c r="B720" s="27"/>
    </row>
    <row r="721" customHeight="1" spans="2:2">
      <c r="B721" s="27"/>
    </row>
    <row r="722" customHeight="1" spans="2:2">
      <c r="B722" s="27"/>
    </row>
    <row r="723" customHeight="1" spans="2:2">
      <c r="B723" s="27"/>
    </row>
    <row r="724" customHeight="1" spans="2:2">
      <c r="B724" s="27"/>
    </row>
    <row r="725" customHeight="1" spans="2:2">
      <c r="B725" s="27"/>
    </row>
    <row r="726" customHeight="1" spans="2:2">
      <c r="B726" s="27"/>
    </row>
    <row r="727" customHeight="1" spans="2:2">
      <c r="B727" s="27"/>
    </row>
    <row r="728" customHeight="1" spans="2:2">
      <c r="B728" s="27"/>
    </row>
    <row r="729" customHeight="1" spans="2:2">
      <c r="B729" s="27"/>
    </row>
    <row r="730" customHeight="1" spans="2:2">
      <c r="B730" s="27"/>
    </row>
    <row r="731" customHeight="1" spans="2:2">
      <c r="B731" s="27"/>
    </row>
    <row r="732" customHeight="1" spans="2:2">
      <c r="B732" s="27"/>
    </row>
    <row r="733" customHeight="1" spans="2:2">
      <c r="B733" s="27"/>
    </row>
    <row r="734" customHeight="1" spans="2:2">
      <c r="B734" s="27"/>
    </row>
    <row r="735" customHeight="1" spans="2:2">
      <c r="B735" s="27"/>
    </row>
    <row r="736" customHeight="1" spans="2:2">
      <c r="B736" s="27"/>
    </row>
    <row r="737" customHeight="1" spans="2:2">
      <c r="B737" s="27"/>
    </row>
    <row r="738" customHeight="1" spans="2:2">
      <c r="B738" s="27"/>
    </row>
    <row r="739" customHeight="1" spans="2:2">
      <c r="B739" s="27"/>
    </row>
    <row r="740" customHeight="1" spans="2:2">
      <c r="B740" s="27"/>
    </row>
    <row r="741" customHeight="1" spans="2:2">
      <c r="B741" s="27"/>
    </row>
    <row r="742" customHeight="1" spans="2:2">
      <c r="B742" s="27"/>
    </row>
    <row r="743" customHeight="1" spans="2:2">
      <c r="B743" s="27"/>
    </row>
    <row r="744" customHeight="1" spans="2:2">
      <c r="B744" s="27"/>
    </row>
    <row r="745" customHeight="1" spans="2:2">
      <c r="B745" s="27"/>
    </row>
    <row r="746" customHeight="1" spans="2:2">
      <c r="B746" s="27"/>
    </row>
    <row r="747" customHeight="1" spans="2:2">
      <c r="B747" s="27"/>
    </row>
    <row r="748" customHeight="1" spans="2:2">
      <c r="B748" s="27"/>
    </row>
    <row r="749" customHeight="1" spans="2:2">
      <c r="B749" s="27"/>
    </row>
    <row r="750" customHeight="1" spans="2:2">
      <c r="B750" s="27"/>
    </row>
    <row r="751" customHeight="1" spans="2:2">
      <c r="B751" s="27"/>
    </row>
    <row r="752" customHeight="1" spans="2:2">
      <c r="B752" s="27"/>
    </row>
    <row r="753" customHeight="1" spans="2:2">
      <c r="B753" s="27"/>
    </row>
    <row r="754" customHeight="1" spans="2:2">
      <c r="B754" s="27"/>
    </row>
    <row r="755" customHeight="1" spans="2:2">
      <c r="B755" s="27"/>
    </row>
    <row r="756" customHeight="1" spans="2:2">
      <c r="B756" s="27"/>
    </row>
    <row r="757" customHeight="1" spans="2:2">
      <c r="B757" s="27"/>
    </row>
    <row r="758" customHeight="1" spans="2:2">
      <c r="B758" s="27"/>
    </row>
    <row r="759" customHeight="1" spans="2:2">
      <c r="B759" s="27"/>
    </row>
    <row r="760" customHeight="1" spans="2:2">
      <c r="B760" s="27"/>
    </row>
    <row r="761" customHeight="1" spans="2:2">
      <c r="B761" s="27"/>
    </row>
    <row r="762" customHeight="1" spans="2:2">
      <c r="B762" s="27"/>
    </row>
    <row r="763" customHeight="1" spans="2:2">
      <c r="B763" s="27"/>
    </row>
    <row r="764" customHeight="1" spans="2:2">
      <c r="B764" s="27"/>
    </row>
    <row r="765" customHeight="1" spans="2:2">
      <c r="B765" s="27"/>
    </row>
    <row r="766" customHeight="1" spans="2:2">
      <c r="B766" s="27"/>
    </row>
    <row r="767" customHeight="1" spans="2:2">
      <c r="B767" s="27"/>
    </row>
    <row r="768" customHeight="1" spans="2:2">
      <c r="B768" s="27"/>
    </row>
    <row r="769" customHeight="1" spans="2:2">
      <c r="B769" s="27"/>
    </row>
    <row r="770" customHeight="1" spans="2:2">
      <c r="B770" s="27"/>
    </row>
    <row r="771" customHeight="1" spans="2:2">
      <c r="B771" s="27"/>
    </row>
    <row r="772" customHeight="1" spans="2:2">
      <c r="B772" s="27"/>
    </row>
    <row r="773" customHeight="1" spans="2:2">
      <c r="B773" s="27"/>
    </row>
    <row r="774" customHeight="1" spans="2:2">
      <c r="B774" s="27"/>
    </row>
    <row r="775" customHeight="1" spans="2:2">
      <c r="B775" s="27"/>
    </row>
    <row r="776" customHeight="1" spans="2:2">
      <c r="B776" s="27"/>
    </row>
    <row r="777" customHeight="1" spans="2:2">
      <c r="B777" s="27"/>
    </row>
    <row r="778" customHeight="1" spans="2:2">
      <c r="B778" s="27"/>
    </row>
    <row r="779" customHeight="1" spans="2:2">
      <c r="B779" s="27"/>
    </row>
    <row r="780" customHeight="1" spans="2:2">
      <c r="B780" s="27"/>
    </row>
    <row r="781" customHeight="1" spans="2:2">
      <c r="B781" s="27"/>
    </row>
    <row r="782" customHeight="1" spans="2:2">
      <c r="B782" s="27"/>
    </row>
    <row r="783" customHeight="1" spans="2:2">
      <c r="B783" s="27"/>
    </row>
    <row r="784" customHeight="1" spans="2:2">
      <c r="B784" s="27"/>
    </row>
    <row r="785" customHeight="1" spans="2:2">
      <c r="B785" s="27"/>
    </row>
    <row r="786" customHeight="1" spans="2:2">
      <c r="B786" s="27"/>
    </row>
    <row r="787" customHeight="1" spans="2:2">
      <c r="B787" s="27"/>
    </row>
    <row r="788" customHeight="1" spans="2:2">
      <c r="B788" s="27"/>
    </row>
    <row r="789" customHeight="1" spans="2:2">
      <c r="B789" s="27"/>
    </row>
    <row r="790" customHeight="1" spans="2:2">
      <c r="B790" s="27"/>
    </row>
    <row r="791" customHeight="1" spans="2:2">
      <c r="B791" s="27"/>
    </row>
    <row r="792" customHeight="1" spans="2:2">
      <c r="B792" s="27"/>
    </row>
    <row r="793" customHeight="1" spans="2:2">
      <c r="B793" s="27"/>
    </row>
    <row r="794" customHeight="1" spans="2:2">
      <c r="B794" s="27"/>
    </row>
    <row r="795" customHeight="1" spans="2:2">
      <c r="B795" s="27"/>
    </row>
    <row r="796" customHeight="1" spans="2:2">
      <c r="B796" s="27"/>
    </row>
    <row r="797" customHeight="1" spans="2:2">
      <c r="B797" s="27"/>
    </row>
    <row r="798" customHeight="1" spans="2:2">
      <c r="B798" s="27"/>
    </row>
    <row r="799" customHeight="1" spans="2:2">
      <c r="B799" s="27"/>
    </row>
    <row r="800" customHeight="1" spans="2:2">
      <c r="B800" s="27"/>
    </row>
    <row r="801" customHeight="1" spans="2:2">
      <c r="B801" s="27"/>
    </row>
    <row r="802" customHeight="1" spans="2:2">
      <c r="B802" s="27"/>
    </row>
    <row r="803" customHeight="1" spans="2:2">
      <c r="B803" s="27"/>
    </row>
    <row r="804" customHeight="1" spans="2:2">
      <c r="B804" s="27"/>
    </row>
    <row r="805" customHeight="1" spans="2:2">
      <c r="B805" s="27"/>
    </row>
    <row r="806" customHeight="1" spans="2:2">
      <c r="B806" s="27"/>
    </row>
    <row r="807" customHeight="1" spans="2:2">
      <c r="B807" s="27"/>
    </row>
    <row r="808" customHeight="1" spans="2:2">
      <c r="B808" s="27"/>
    </row>
    <row r="809" customHeight="1" spans="2:2">
      <c r="B809" s="27"/>
    </row>
    <row r="810" customHeight="1" spans="2:2">
      <c r="B810" s="27"/>
    </row>
    <row r="811" customHeight="1" spans="2:2">
      <c r="B811" s="27"/>
    </row>
    <row r="812" customHeight="1" spans="2:2">
      <c r="B812" s="27"/>
    </row>
    <row r="813" customHeight="1" spans="2:2">
      <c r="B813" s="27"/>
    </row>
    <row r="814" customHeight="1" spans="2:2">
      <c r="B814" s="27"/>
    </row>
    <row r="815" customHeight="1" spans="2:2">
      <c r="B815" s="27"/>
    </row>
    <row r="816" customHeight="1" spans="2:2">
      <c r="B816" s="27"/>
    </row>
    <row r="817" customHeight="1" spans="2:2">
      <c r="B817" s="27"/>
    </row>
    <row r="818" customHeight="1" spans="2:2">
      <c r="B818" s="27"/>
    </row>
    <row r="819" customHeight="1" spans="2:2">
      <c r="B819" s="27"/>
    </row>
    <row r="820" customHeight="1" spans="2:2">
      <c r="B820" s="27"/>
    </row>
    <row r="821" customHeight="1" spans="2:2">
      <c r="B821" s="27"/>
    </row>
    <row r="822" customHeight="1" spans="2:2">
      <c r="B822" s="27"/>
    </row>
    <row r="823" customHeight="1" spans="2:2">
      <c r="B823" s="27"/>
    </row>
    <row r="824" customHeight="1" spans="2:2">
      <c r="B824" s="27"/>
    </row>
    <row r="825" customHeight="1" spans="2:2">
      <c r="B825" s="27"/>
    </row>
    <row r="826" customHeight="1" spans="2:2">
      <c r="B826" s="27"/>
    </row>
    <row r="827" customHeight="1" spans="2:2">
      <c r="B827" s="27"/>
    </row>
    <row r="828" customHeight="1" spans="2:2">
      <c r="B828" s="27"/>
    </row>
    <row r="829" customHeight="1" spans="2:2">
      <c r="B829" s="27"/>
    </row>
    <row r="830" customHeight="1" spans="2:2">
      <c r="B830" s="27"/>
    </row>
    <row r="831" customHeight="1" spans="2:2">
      <c r="B831" s="27"/>
    </row>
    <row r="832" customHeight="1" spans="2:2">
      <c r="B832" s="27"/>
    </row>
    <row r="833" customHeight="1" spans="2:2">
      <c r="B833" s="27"/>
    </row>
    <row r="834" customHeight="1" spans="2:2">
      <c r="B834" s="27"/>
    </row>
    <row r="835" customHeight="1" spans="2:2">
      <c r="B835" s="27"/>
    </row>
    <row r="836" customHeight="1" spans="2:2">
      <c r="B836" s="27"/>
    </row>
    <row r="837" customHeight="1" spans="2:2">
      <c r="B837" s="27"/>
    </row>
    <row r="838" customHeight="1" spans="2:2">
      <c r="B838" s="27"/>
    </row>
    <row r="839" customHeight="1" spans="2:2">
      <c r="B839" s="27"/>
    </row>
    <row r="840" customHeight="1" spans="2:2">
      <c r="B840" s="27"/>
    </row>
    <row r="841" customHeight="1" spans="2:2">
      <c r="B841" s="27"/>
    </row>
    <row r="842" customHeight="1" spans="2:2">
      <c r="B842" s="27"/>
    </row>
    <row r="843" customHeight="1" spans="2:2">
      <c r="B843" s="27"/>
    </row>
    <row r="844" customHeight="1" spans="2:2">
      <c r="B844" s="27"/>
    </row>
    <row r="845" customHeight="1" spans="2:2">
      <c r="B845" s="27"/>
    </row>
    <row r="846" customHeight="1" spans="2:2">
      <c r="B846" s="27"/>
    </row>
    <row r="847" customHeight="1" spans="2:2">
      <c r="B847" s="27"/>
    </row>
    <row r="848" customHeight="1" spans="2:2">
      <c r="B848" s="27"/>
    </row>
    <row r="849" customHeight="1" spans="2:2">
      <c r="B849" s="27"/>
    </row>
    <row r="850" customHeight="1" spans="2:2">
      <c r="B850" s="27"/>
    </row>
    <row r="851" customHeight="1" spans="2:2">
      <c r="B851" s="27"/>
    </row>
    <row r="852" customHeight="1" spans="2:2">
      <c r="B852" s="27"/>
    </row>
    <row r="853" customHeight="1" spans="2:2">
      <c r="B853" s="27"/>
    </row>
    <row r="854" customHeight="1" spans="2:2">
      <c r="B854" s="27"/>
    </row>
    <row r="855" customHeight="1" spans="2:2">
      <c r="B855" s="27"/>
    </row>
    <row r="856" customHeight="1" spans="2:2">
      <c r="B856" s="27"/>
    </row>
    <row r="857" customHeight="1" spans="2:2">
      <c r="B857" s="27"/>
    </row>
    <row r="858" customHeight="1" spans="2:2">
      <c r="B858" s="27"/>
    </row>
    <row r="859" customHeight="1" spans="2:2">
      <c r="B859" s="27"/>
    </row>
    <row r="860" customHeight="1" spans="2:2">
      <c r="B860" s="27"/>
    </row>
    <row r="861" customHeight="1" spans="2:2">
      <c r="B861" s="27"/>
    </row>
    <row r="862" customHeight="1" spans="2:2">
      <c r="B862" s="27"/>
    </row>
    <row r="863" customHeight="1" spans="2:2">
      <c r="B863" s="27"/>
    </row>
    <row r="864" customHeight="1" spans="2:2">
      <c r="B864" s="27"/>
    </row>
    <row r="865" customHeight="1" spans="2:2">
      <c r="B865" s="27"/>
    </row>
    <row r="866" customHeight="1" spans="2:2">
      <c r="B866" s="27"/>
    </row>
    <row r="867" customHeight="1" spans="2:2">
      <c r="B867" s="27"/>
    </row>
    <row r="868" customHeight="1" spans="2:2">
      <c r="B868" s="27"/>
    </row>
    <row r="869" customHeight="1" spans="2:2">
      <c r="B869" s="27"/>
    </row>
    <row r="870" customHeight="1" spans="2:2">
      <c r="B870" s="27"/>
    </row>
    <row r="871" customHeight="1" spans="2:2">
      <c r="B871" s="27"/>
    </row>
    <row r="872" customHeight="1" spans="2:2">
      <c r="B872" s="27"/>
    </row>
    <row r="873" customHeight="1" spans="2:2">
      <c r="B873" s="27"/>
    </row>
    <row r="874" customHeight="1" spans="2:2">
      <c r="B874" s="27"/>
    </row>
    <row r="875" customHeight="1" spans="2:2">
      <c r="B875" s="27"/>
    </row>
    <row r="876" customHeight="1" spans="2:2">
      <c r="B876" s="27"/>
    </row>
    <row r="877" customHeight="1" spans="2:2">
      <c r="B877" s="27"/>
    </row>
    <row r="878" customHeight="1" spans="2:2">
      <c r="B878" s="27"/>
    </row>
    <row r="879" customHeight="1" spans="2:2">
      <c r="B879" s="27"/>
    </row>
    <row r="880" customHeight="1" spans="2:2">
      <c r="B880" s="27"/>
    </row>
    <row r="881" customHeight="1" spans="2:2">
      <c r="B881" s="27"/>
    </row>
    <row r="882" customHeight="1" spans="2:2">
      <c r="B882" s="27"/>
    </row>
    <row r="883" customHeight="1" spans="2:2">
      <c r="B883" s="27"/>
    </row>
    <row r="884" customHeight="1" spans="2:2">
      <c r="B884" s="27"/>
    </row>
    <row r="885" customHeight="1" spans="2:2">
      <c r="B885" s="27"/>
    </row>
    <row r="886" customHeight="1" spans="2:2">
      <c r="B886" s="27"/>
    </row>
    <row r="887" customHeight="1" spans="2:2">
      <c r="B887" s="27"/>
    </row>
    <row r="888" customHeight="1" spans="2:2">
      <c r="B888" s="27"/>
    </row>
    <row r="889" customHeight="1" spans="2:2">
      <c r="B889" s="27"/>
    </row>
    <row r="890" customHeight="1" spans="2:2">
      <c r="B890" s="27"/>
    </row>
    <row r="891" customHeight="1" spans="2:2">
      <c r="B891" s="27"/>
    </row>
    <row r="892" customHeight="1" spans="2:2">
      <c r="B892" s="27"/>
    </row>
    <row r="893" customHeight="1" spans="2:2">
      <c r="B893" s="27"/>
    </row>
    <row r="894" customHeight="1" spans="2:2">
      <c r="B894" s="27"/>
    </row>
    <row r="895" customHeight="1" spans="2:2">
      <c r="B895" s="27"/>
    </row>
    <row r="896" customHeight="1" spans="2:2">
      <c r="B896" s="27"/>
    </row>
    <row r="897" customHeight="1" spans="2:2">
      <c r="B897" s="27"/>
    </row>
    <row r="898" customHeight="1" spans="2:2">
      <c r="B898" s="27"/>
    </row>
    <row r="899" customHeight="1" spans="2:2">
      <c r="B899" s="27"/>
    </row>
    <row r="900" customHeight="1" spans="2:2">
      <c r="B900" s="27"/>
    </row>
    <row r="901" customHeight="1" spans="2:2">
      <c r="B901" s="27"/>
    </row>
    <row r="902" customHeight="1" spans="2:2">
      <c r="B902" s="27"/>
    </row>
    <row r="903" customHeight="1" spans="2:2">
      <c r="B903" s="27"/>
    </row>
    <row r="904" customHeight="1" spans="2:2">
      <c r="B904" s="27"/>
    </row>
    <row r="905" customHeight="1" spans="2:2">
      <c r="B905" s="27"/>
    </row>
    <row r="906" customHeight="1" spans="2:2">
      <c r="B906" s="27"/>
    </row>
    <row r="907" customHeight="1" spans="2:2">
      <c r="B907" s="27"/>
    </row>
    <row r="908" customHeight="1" spans="2:2">
      <c r="B908" s="27"/>
    </row>
    <row r="909" customHeight="1" spans="2:2">
      <c r="B909" s="27"/>
    </row>
    <row r="910" customHeight="1" spans="2:2">
      <c r="B910" s="27"/>
    </row>
    <row r="911" customHeight="1" spans="2:2">
      <c r="B911" s="27"/>
    </row>
    <row r="912" customHeight="1" spans="2:2">
      <c r="B912" s="27"/>
    </row>
    <row r="913" customHeight="1" spans="2:2">
      <c r="B913" s="27"/>
    </row>
    <row r="914" customHeight="1" spans="2:2">
      <c r="B914" s="27"/>
    </row>
    <row r="915" customHeight="1" spans="2:2">
      <c r="B915" s="27"/>
    </row>
    <row r="916" customHeight="1" spans="2:2">
      <c r="B916" s="27"/>
    </row>
    <row r="917" customHeight="1" spans="2:2">
      <c r="B917" s="27"/>
    </row>
    <row r="918" customHeight="1" spans="2:2">
      <c r="B918" s="27"/>
    </row>
    <row r="919" customHeight="1" spans="2:2">
      <c r="B919" s="27"/>
    </row>
    <row r="920" customHeight="1" spans="2:2">
      <c r="B920" s="27"/>
    </row>
    <row r="921" customHeight="1" spans="2:2">
      <c r="B921" s="27"/>
    </row>
    <row r="922" customHeight="1" spans="2:2">
      <c r="B922" s="27"/>
    </row>
    <row r="923" customHeight="1" spans="2:2">
      <c r="B923" s="27"/>
    </row>
    <row r="924" customHeight="1" spans="2:2">
      <c r="B924" s="27"/>
    </row>
    <row r="925" customHeight="1" spans="2:2">
      <c r="B925" s="27"/>
    </row>
    <row r="926" customHeight="1" spans="2:2">
      <c r="B926" s="27"/>
    </row>
    <row r="927" customHeight="1" spans="2:2">
      <c r="B927" s="27"/>
    </row>
    <row r="928" customHeight="1" spans="2:2">
      <c r="B928" s="27"/>
    </row>
    <row r="929" customHeight="1" spans="2:2">
      <c r="B929" s="27"/>
    </row>
    <row r="930" customHeight="1" spans="2:2">
      <c r="B930" s="27"/>
    </row>
    <row r="931" customHeight="1" spans="2:2">
      <c r="B931" s="27"/>
    </row>
    <row r="932" customHeight="1" spans="2:2">
      <c r="B932" s="27"/>
    </row>
    <row r="933" customHeight="1" spans="2:2">
      <c r="B933" s="27"/>
    </row>
    <row r="934" customHeight="1" spans="2:2">
      <c r="B934" s="27"/>
    </row>
    <row r="935" customHeight="1" spans="2:2">
      <c r="B935" s="27"/>
    </row>
    <row r="936" customHeight="1" spans="2:2">
      <c r="B936" s="27"/>
    </row>
    <row r="937" customHeight="1" spans="2:2">
      <c r="B937" s="27"/>
    </row>
    <row r="938" customHeight="1" spans="2:2">
      <c r="B938" s="27"/>
    </row>
    <row r="939" customHeight="1" spans="2:2">
      <c r="B939" s="27"/>
    </row>
    <row r="940" customHeight="1" spans="2:2">
      <c r="B940" s="27"/>
    </row>
    <row r="941" customHeight="1" spans="2:2">
      <c r="B941" s="27"/>
    </row>
    <row r="942" customHeight="1" spans="2:2">
      <c r="B942" s="27"/>
    </row>
    <row r="943" customHeight="1" spans="2:2">
      <c r="B943" s="27"/>
    </row>
    <row r="944" customHeight="1" spans="2:2">
      <c r="B944" s="27"/>
    </row>
    <row r="945" customHeight="1" spans="2:2">
      <c r="B945" s="27"/>
    </row>
    <row r="946" customHeight="1" spans="2:2">
      <c r="B946" s="27"/>
    </row>
    <row r="947" customHeight="1" spans="2:2">
      <c r="B947" s="27"/>
    </row>
    <row r="948" customHeight="1" spans="2:2">
      <c r="B948" s="27"/>
    </row>
    <row r="949" customHeight="1" spans="2:2">
      <c r="B949" s="27"/>
    </row>
    <row r="950" customHeight="1" spans="2:2">
      <c r="B950" s="27"/>
    </row>
    <row r="951" customHeight="1" spans="2:2">
      <c r="B951" s="27"/>
    </row>
    <row r="952" customHeight="1" spans="2:2">
      <c r="B952" s="27"/>
    </row>
    <row r="953" customHeight="1" spans="2:2">
      <c r="B953" s="27"/>
    </row>
    <row r="954" customHeight="1" spans="2:2">
      <c r="B954" s="27"/>
    </row>
    <row r="955" customHeight="1" spans="2:2">
      <c r="B955" s="27"/>
    </row>
    <row r="956" customHeight="1" spans="2:2">
      <c r="B956" s="27"/>
    </row>
    <row r="957" customHeight="1" spans="2:2">
      <c r="B957" s="27"/>
    </row>
    <row r="958" customHeight="1" spans="2:2">
      <c r="B958" s="27"/>
    </row>
    <row r="959" customHeight="1" spans="2:2">
      <c r="B959" s="27"/>
    </row>
    <row r="960" customHeight="1" spans="2:2">
      <c r="B960" s="27"/>
    </row>
    <row r="961" customHeight="1" spans="2:2">
      <c r="B961" s="27"/>
    </row>
    <row r="962" customHeight="1" spans="2:2">
      <c r="B962" s="27"/>
    </row>
    <row r="963" customHeight="1" spans="2:2">
      <c r="B963" s="27"/>
    </row>
    <row r="964" customHeight="1" spans="2:2">
      <c r="B964" s="27"/>
    </row>
    <row r="965" customHeight="1" spans="2:2">
      <c r="B965" s="27"/>
    </row>
    <row r="966" customHeight="1" spans="2:2">
      <c r="B966" s="27"/>
    </row>
    <row r="967" customHeight="1" spans="2:2">
      <c r="B967" s="27"/>
    </row>
    <row r="968" customHeight="1" spans="2:2">
      <c r="B968" s="27"/>
    </row>
    <row r="969" customHeight="1" spans="2:2">
      <c r="B969" s="27"/>
    </row>
    <row r="970" customHeight="1" spans="2:2">
      <c r="B970" s="27"/>
    </row>
    <row r="971" customHeight="1" spans="2:2">
      <c r="B971" s="27"/>
    </row>
    <row r="972" customHeight="1" spans="2:2">
      <c r="B972" s="27"/>
    </row>
    <row r="973" customHeight="1" spans="2:2">
      <c r="B973" s="27"/>
    </row>
    <row r="974" customHeight="1" spans="2:2">
      <c r="B974" s="27"/>
    </row>
    <row r="975" customHeight="1" spans="2:2">
      <c r="B975" s="27"/>
    </row>
    <row r="976" customHeight="1" spans="2:2">
      <c r="B976" s="27"/>
    </row>
    <row r="977" customHeight="1" spans="2:2">
      <c r="B977" s="27"/>
    </row>
    <row r="978" customHeight="1" spans="2:2">
      <c r="B978" s="27"/>
    </row>
    <row r="979" customHeight="1" spans="2:2">
      <c r="B979" s="27"/>
    </row>
    <row r="980" customHeight="1" spans="2:2">
      <c r="B980" s="27"/>
    </row>
    <row r="981" customHeight="1" spans="2:2">
      <c r="B981" s="27"/>
    </row>
    <row r="982" customHeight="1" spans="2:2">
      <c r="B982" s="27"/>
    </row>
    <row r="983" customHeight="1" spans="2:2">
      <c r="B983" s="27"/>
    </row>
    <row r="984" customHeight="1" spans="2:2">
      <c r="B984" s="27"/>
    </row>
    <row r="985" customHeight="1" spans="2:2">
      <c r="B985" s="27"/>
    </row>
    <row r="986" customHeight="1" spans="2:2">
      <c r="B986" s="27"/>
    </row>
    <row r="987" customHeight="1" spans="2:2">
      <c r="B987" s="27"/>
    </row>
    <row r="988" customHeight="1" spans="2:2">
      <c r="B988" s="27"/>
    </row>
    <row r="989" customHeight="1" spans="2:2">
      <c r="B989" s="27"/>
    </row>
    <row r="990" customHeight="1" spans="2:2">
      <c r="B990" s="27"/>
    </row>
    <row r="991" customHeight="1" spans="2:2">
      <c r="B991" s="27"/>
    </row>
    <row r="992" customHeight="1" spans="2:2">
      <c r="B992" s="27"/>
    </row>
    <row r="993" customHeight="1" spans="2:2">
      <c r="B993" s="27"/>
    </row>
    <row r="994" customHeight="1" spans="2:2">
      <c r="B994" s="27"/>
    </row>
    <row r="995" customHeight="1" spans="2:2">
      <c r="B995" s="27"/>
    </row>
    <row r="996" customHeight="1" spans="2:2">
      <c r="B996" s="27"/>
    </row>
    <row r="997" customHeight="1" spans="2:2">
      <c r="B997" s="27"/>
    </row>
    <row r="998" customHeight="1" spans="2:2">
      <c r="B998" s="2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52"/>
  <sheetViews>
    <sheetView topLeftCell="A16" workbookViewId="0">
      <selection activeCell="A36" sqref="A36"/>
    </sheetView>
  </sheetViews>
  <sheetFormatPr defaultColWidth="12.6285714285714" defaultRowHeight="15.75" customHeight="1" outlineLevelCol="4"/>
  <cols>
    <col min="1" max="1" width="86" customWidth="1"/>
  </cols>
  <sheetData>
    <row r="1" customHeight="1" spans="1:5">
      <c r="A1" s="3" t="s">
        <v>1</v>
      </c>
      <c r="B1" s="4" t="s">
        <v>2</v>
      </c>
      <c r="C1" s="4" t="s">
        <v>3</v>
      </c>
      <c r="D1" s="4" t="s">
        <v>4</v>
      </c>
      <c r="E1" s="4" t="s">
        <v>25</v>
      </c>
    </row>
    <row r="2" customHeight="1" spans="1:5">
      <c r="A2" s="5" t="s">
        <v>27</v>
      </c>
      <c r="B2" s="6" t="s">
        <v>28</v>
      </c>
      <c r="C2" s="7">
        <v>4</v>
      </c>
      <c r="D2" s="7">
        <v>4</v>
      </c>
      <c r="E2" s="7">
        <v>16</v>
      </c>
    </row>
    <row r="3" customHeight="1" spans="1:5">
      <c r="A3" s="5" t="s">
        <v>29</v>
      </c>
      <c r="B3" s="6" t="s">
        <v>30</v>
      </c>
      <c r="C3" s="7">
        <v>4</v>
      </c>
      <c r="D3" s="8">
        <v>45751</v>
      </c>
      <c r="E3" s="8">
        <v>45825</v>
      </c>
    </row>
    <row r="4" customHeight="1" spans="1:5">
      <c r="A4" s="5" t="s">
        <v>29</v>
      </c>
      <c r="B4" s="6" t="s">
        <v>31</v>
      </c>
      <c r="C4" s="7">
        <v>4</v>
      </c>
      <c r="D4" s="8">
        <v>45781</v>
      </c>
      <c r="E4" s="7">
        <v>18</v>
      </c>
    </row>
    <row r="5" customHeight="1" spans="1:5">
      <c r="A5" s="5" t="s">
        <v>32</v>
      </c>
      <c r="B5" s="6" t="s">
        <v>33</v>
      </c>
      <c r="C5" s="7">
        <v>6</v>
      </c>
      <c r="D5" s="8">
        <v>45717</v>
      </c>
      <c r="E5" s="8">
        <v>45876</v>
      </c>
    </row>
    <row r="6" customHeight="1" spans="1:5">
      <c r="A6" s="5" t="s">
        <v>32</v>
      </c>
      <c r="B6" s="6" t="s">
        <v>34</v>
      </c>
      <c r="C6" s="7">
        <v>12</v>
      </c>
      <c r="D6" s="7">
        <v>9</v>
      </c>
      <c r="E6" s="7">
        <v>108</v>
      </c>
    </row>
    <row r="7" customHeight="1" spans="1:5">
      <c r="A7" s="5" t="s">
        <v>35</v>
      </c>
      <c r="B7" s="6" t="s">
        <v>36</v>
      </c>
      <c r="C7" s="7">
        <v>6</v>
      </c>
      <c r="D7" s="8">
        <v>45717</v>
      </c>
      <c r="E7" s="8">
        <v>45876</v>
      </c>
    </row>
    <row r="8" customHeight="1" spans="1:5">
      <c r="A8" s="5" t="s">
        <v>35</v>
      </c>
      <c r="B8" s="6" t="s">
        <v>37</v>
      </c>
      <c r="C8" s="7">
        <v>6</v>
      </c>
      <c r="D8" s="8">
        <v>45778</v>
      </c>
      <c r="E8" s="7">
        <v>9</v>
      </c>
    </row>
    <row r="9" customHeight="1" spans="1:5">
      <c r="A9" s="5" t="s">
        <v>38</v>
      </c>
      <c r="B9" s="6" t="s">
        <v>39</v>
      </c>
      <c r="C9" s="7">
        <v>6</v>
      </c>
      <c r="D9" s="7">
        <v>1</v>
      </c>
      <c r="E9" s="7">
        <v>6</v>
      </c>
    </row>
    <row r="10" customHeight="1" spans="1:5">
      <c r="A10" s="5" t="s">
        <v>38</v>
      </c>
      <c r="B10" s="6" t="s">
        <v>40</v>
      </c>
      <c r="C10" s="7">
        <v>6</v>
      </c>
      <c r="D10" s="8">
        <v>45748</v>
      </c>
      <c r="E10" s="8">
        <v>45755</v>
      </c>
    </row>
    <row r="11" customHeight="1" spans="1:5">
      <c r="A11" s="5" t="s">
        <v>41</v>
      </c>
      <c r="B11" s="6" t="s">
        <v>42</v>
      </c>
      <c r="C11" s="7">
        <v>6</v>
      </c>
      <c r="D11" s="8">
        <v>45871</v>
      </c>
      <c r="E11" s="8">
        <v>45885</v>
      </c>
    </row>
    <row r="12" customHeight="1" spans="1:5">
      <c r="A12" s="5" t="s">
        <v>43</v>
      </c>
      <c r="B12" s="6" t="s">
        <v>44</v>
      </c>
      <c r="C12" s="7">
        <v>6</v>
      </c>
      <c r="D12" s="7">
        <v>2</v>
      </c>
      <c r="E12" s="7">
        <v>12</v>
      </c>
    </row>
    <row r="13" customHeight="1" spans="1:5">
      <c r="A13" s="5" t="s">
        <v>43</v>
      </c>
      <c r="B13" s="6" t="s">
        <v>45</v>
      </c>
      <c r="C13" s="7">
        <v>6</v>
      </c>
      <c r="D13" s="8">
        <v>45902</v>
      </c>
      <c r="E13" s="8">
        <v>45764</v>
      </c>
    </row>
    <row r="14" customHeight="1" spans="1:5">
      <c r="A14" s="5" t="s">
        <v>46</v>
      </c>
      <c r="B14" s="6" t="s">
        <v>47</v>
      </c>
      <c r="C14" s="7">
        <v>6</v>
      </c>
      <c r="D14" s="8">
        <v>45691</v>
      </c>
      <c r="E14" s="8">
        <v>45707</v>
      </c>
    </row>
    <row r="15" customHeight="1" spans="1:5">
      <c r="A15" s="5" t="s">
        <v>48</v>
      </c>
      <c r="B15" s="6" t="s">
        <v>49</v>
      </c>
      <c r="C15" s="7">
        <v>6</v>
      </c>
      <c r="D15" s="8">
        <v>45780</v>
      </c>
      <c r="E15" s="7">
        <v>21</v>
      </c>
    </row>
    <row r="16" customHeight="1" spans="1:5">
      <c r="A16" s="5" t="s">
        <v>48</v>
      </c>
      <c r="B16" s="6" t="s">
        <v>50</v>
      </c>
      <c r="C16" s="7">
        <v>6</v>
      </c>
      <c r="D16" s="8">
        <v>45691</v>
      </c>
      <c r="E16" s="8">
        <v>45707</v>
      </c>
    </row>
    <row r="17" customHeight="1" spans="1:5">
      <c r="A17" s="5" t="s">
        <v>51</v>
      </c>
      <c r="B17" s="6" t="s">
        <v>52</v>
      </c>
      <c r="C17" s="7">
        <v>6</v>
      </c>
      <c r="D17" s="7">
        <v>4</v>
      </c>
      <c r="E17" s="7">
        <v>24</v>
      </c>
    </row>
    <row r="18" customHeight="1" spans="1:5">
      <c r="A18" s="5" t="s">
        <v>53</v>
      </c>
      <c r="B18" s="6" t="s">
        <v>54</v>
      </c>
      <c r="C18" s="7">
        <v>6</v>
      </c>
      <c r="D18" s="7">
        <v>4</v>
      </c>
      <c r="E18" s="7">
        <v>24</v>
      </c>
    </row>
    <row r="19" customHeight="1" spans="1:5">
      <c r="A19" s="5" t="s">
        <v>55</v>
      </c>
      <c r="B19" s="6" t="s">
        <v>56</v>
      </c>
      <c r="C19" s="7">
        <v>6</v>
      </c>
      <c r="D19" s="8">
        <v>45781</v>
      </c>
      <c r="E19" s="7">
        <v>27</v>
      </c>
    </row>
    <row r="20" customHeight="1" spans="1:5">
      <c r="A20" s="5" t="s">
        <v>53</v>
      </c>
      <c r="B20" s="6" t="s">
        <v>57</v>
      </c>
      <c r="C20" s="7">
        <v>6</v>
      </c>
      <c r="D20" s="7">
        <v>5</v>
      </c>
      <c r="E20" s="7">
        <v>30</v>
      </c>
    </row>
    <row r="21" customHeight="1" spans="1:5">
      <c r="A21" s="5" t="s">
        <v>55</v>
      </c>
      <c r="B21" s="6" t="s">
        <v>58</v>
      </c>
      <c r="C21" s="7">
        <v>6</v>
      </c>
      <c r="D21" s="7">
        <v>5</v>
      </c>
      <c r="E21" s="7">
        <v>30</v>
      </c>
    </row>
    <row r="22" customHeight="1" spans="1:5">
      <c r="A22" s="5" t="s">
        <v>59</v>
      </c>
      <c r="B22" s="6" t="s">
        <v>60</v>
      </c>
      <c r="C22" s="7">
        <v>6</v>
      </c>
      <c r="D22" s="8">
        <v>45782</v>
      </c>
      <c r="E22" s="7">
        <v>33</v>
      </c>
    </row>
    <row r="23" customHeight="1" spans="1:5">
      <c r="A23" s="5" t="s">
        <v>61</v>
      </c>
      <c r="B23" s="6" t="s">
        <v>62</v>
      </c>
      <c r="C23" s="7">
        <v>6</v>
      </c>
      <c r="D23" s="7">
        <v>7</v>
      </c>
      <c r="E23" s="7">
        <v>42</v>
      </c>
    </row>
    <row r="24" customHeight="1" spans="1:5">
      <c r="A24" s="5" t="s">
        <v>63</v>
      </c>
      <c r="B24" s="6" t="s">
        <v>64</v>
      </c>
      <c r="C24" s="7">
        <v>6</v>
      </c>
      <c r="D24" s="7">
        <v>7</v>
      </c>
      <c r="E24" s="7">
        <v>42</v>
      </c>
    </row>
    <row r="25" customHeight="1" spans="1:5">
      <c r="A25" s="9" t="s">
        <v>65</v>
      </c>
      <c r="B25" s="6" t="s">
        <v>66</v>
      </c>
      <c r="C25" s="7">
        <v>6</v>
      </c>
      <c r="D25" s="7">
        <v>7</v>
      </c>
      <c r="E25" s="7">
        <v>42</v>
      </c>
    </row>
    <row r="26" customHeight="1" spans="1:5">
      <c r="A26" s="5" t="s">
        <v>63</v>
      </c>
      <c r="B26" s="6" t="s">
        <v>67</v>
      </c>
      <c r="C26" s="7">
        <v>6</v>
      </c>
      <c r="D26" s="7">
        <v>8</v>
      </c>
      <c r="E26" s="7">
        <v>48</v>
      </c>
    </row>
    <row r="27" customHeight="1" spans="1:5">
      <c r="A27" s="9" t="s">
        <v>65</v>
      </c>
      <c r="B27" s="6" t="s">
        <v>68</v>
      </c>
      <c r="C27" s="7">
        <v>6</v>
      </c>
      <c r="D27" s="8">
        <v>45785</v>
      </c>
      <c r="E27" s="7">
        <v>51</v>
      </c>
    </row>
    <row r="28" customHeight="1" spans="1:5">
      <c r="A28" s="5" t="s">
        <v>69</v>
      </c>
      <c r="B28" s="6" t="s">
        <v>70</v>
      </c>
      <c r="C28" s="7">
        <v>6</v>
      </c>
      <c r="D28" s="7">
        <v>10</v>
      </c>
      <c r="E28" s="7">
        <v>60</v>
      </c>
    </row>
    <row r="29" customHeight="1" spans="1:5">
      <c r="A29" s="5" t="s">
        <v>69</v>
      </c>
      <c r="B29" s="6" t="s">
        <v>71</v>
      </c>
      <c r="C29" s="7">
        <v>6</v>
      </c>
      <c r="D29" s="7">
        <v>12</v>
      </c>
      <c r="E29" s="7">
        <v>72</v>
      </c>
    </row>
    <row r="30" customHeight="1" spans="1:5">
      <c r="A30" s="5" t="s">
        <v>69</v>
      </c>
      <c r="B30" s="6" t="s">
        <v>72</v>
      </c>
      <c r="C30" s="7">
        <v>6</v>
      </c>
      <c r="D30" s="7">
        <v>12</v>
      </c>
      <c r="E30" s="7">
        <v>72</v>
      </c>
    </row>
    <row r="31" customHeight="1" spans="1:5">
      <c r="A31" s="5" t="s">
        <v>73</v>
      </c>
      <c r="B31" s="6" t="s">
        <v>74</v>
      </c>
      <c r="C31" s="7">
        <v>6</v>
      </c>
      <c r="D31" s="7">
        <v>12</v>
      </c>
      <c r="E31" s="7">
        <v>72</v>
      </c>
    </row>
    <row r="32" customHeight="1" spans="1:5">
      <c r="A32" s="5" t="s">
        <v>75</v>
      </c>
      <c r="B32" s="6" t="s">
        <v>76</v>
      </c>
      <c r="C32" s="7">
        <v>6</v>
      </c>
      <c r="D32" s="7">
        <v>12</v>
      </c>
      <c r="E32" s="7">
        <v>72</v>
      </c>
    </row>
    <row r="33" customHeight="1" spans="1:5">
      <c r="A33" s="5" t="s">
        <v>75</v>
      </c>
      <c r="B33" s="6" t="s">
        <v>77</v>
      </c>
      <c r="C33" s="7">
        <v>6</v>
      </c>
      <c r="D33" s="7">
        <v>12</v>
      </c>
      <c r="E33" s="7">
        <v>72</v>
      </c>
    </row>
    <row r="34" customHeight="1" spans="1:5">
      <c r="A34" s="5" t="s">
        <v>75</v>
      </c>
      <c r="B34" s="6" t="s">
        <v>78</v>
      </c>
      <c r="C34" s="7">
        <v>6</v>
      </c>
      <c r="D34" s="7">
        <v>36</v>
      </c>
      <c r="E34" s="7">
        <v>216</v>
      </c>
    </row>
    <row r="35" customHeight="1" spans="1:5">
      <c r="A35" s="5" t="s">
        <v>79</v>
      </c>
      <c r="B35" s="6" t="s">
        <v>80</v>
      </c>
      <c r="C35" s="7">
        <v>8</v>
      </c>
      <c r="D35" s="8">
        <v>45691</v>
      </c>
      <c r="E35" s="8">
        <v>45833</v>
      </c>
    </row>
    <row r="36" customHeight="1" spans="1:5">
      <c r="A36" s="5" t="s">
        <v>81</v>
      </c>
      <c r="B36" s="6" t="s">
        <v>82</v>
      </c>
      <c r="C36" s="7">
        <v>12</v>
      </c>
      <c r="D36" s="7" t="s">
        <v>83</v>
      </c>
      <c r="E36" s="8">
        <v>45817</v>
      </c>
    </row>
    <row r="37" customHeight="1" spans="1:5">
      <c r="A37" s="5" t="s">
        <v>84</v>
      </c>
      <c r="B37" s="6" t="s">
        <v>85</v>
      </c>
      <c r="C37" s="7">
        <v>12</v>
      </c>
      <c r="D37" s="8">
        <v>45689</v>
      </c>
      <c r="E37" s="8">
        <v>45761</v>
      </c>
    </row>
    <row r="38" customHeight="1" spans="1:5">
      <c r="A38" s="5" t="s">
        <v>86</v>
      </c>
      <c r="B38" s="6" t="s">
        <v>87</v>
      </c>
      <c r="C38" s="7">
        <v>12</v>
      </c>
      <c r="D38" s="8">
        <v>45717</v>
      </c>
      <c r="E38" s="8">
        <v>45823</v>
      </c>
    </row>
    <row r="39" customHeight="1" spans="1:5">
      <c r="A39" s="5" t="s">
        <v>88</v>
      </c>
      <c r="B39" s="6" t="s">
        <v>89</v>
      </c>
      <c r="C39" s="7">
        <v>12</v>
      </c>
      <c r="D39" s="8">
        <v>45748</v>
      </c>
      <c r="E39" s="8">
        <v>45885</v>
      </c>
    </row>
    <row r="40" customHeight="1" spans="1:5">
      <c r="A40" s="5" t="s">
        <v>84</v>
      </c>
      <c r="B40" s="6" t="s">
        <v>90</v>
      </c>
      <c r="C40" s="7">
        <v>12</v>
      </c>
      <c r="D40" s="7">
        <v>2</v>
      </c>
      <c r="E40" s="7">
        <v>24</v>
      </c>
    </row>
    <row r="41" customHeight="1" spans="1:5">
      <c r="A41" s="5" t="s">
        <v>84</v>
      </c>
      <c r="B41" s="6" t="s">
        <v>91</v>
      </c>
      <c r="C41" s="7">
        <v>12</v>
      </c>
      <c r="D41" s="8">
        <v>45718</v>
      </c>
      <c r="E41" s="8">
        <v>45835</v>
      </c>
    </row>
    <row r="42" customHeight="1" spans="1:5">
      <c r="A42" s="5" t="s">
        <v>86</v>
      </c>
      <c r="B42" s="6" t="s">
        <v>92</v>
      </c>
      <c r="C42" s="7">
        <v>12</v>
      </c>
      <c r="D42" s="8">
        <v>45718</v>
      </c>
      <c r="E42" s="8">
        <v>45835</v>
      </c>
    </row>
    <row r="43" customHeight="1" spans="1:5">
      <c r="A43" s="5" t="s">
        <v>86</v>
      </c>
      <c r="B43" s="6" t="s">
        <v>93</v>
      </c>
      <c r="C43" s="7">
        <v>12</v>
      </c>
      <c r="D43" s="8">
        <v>45810</v>
      </c>
      <c r="E43" s="7" t="s">
        <v>94</v>
      </c>
    </row>
    <row r="44" customHeight="1" spans="1:5">
      <c r="A44" s="5" t="s">
        <v>95</v>
      </c>
      <c r="B44" s="6" t="s">
        <v>96</v>
      </c>
      <c r="C44" s="7">
        <v>12</v>
      </c>
      <c r="D44" s="8">
        <v>45779</v>
      </c>
      <c r="E44" s="7">
        <v>30</v>
      </c>
    </row>
    <row r="45" customHeight="1" spans="1:5">
      <c r="A45" s="5" t="s">
        <v>95</v>
      </c>
      <c r="B45" s="6" t="s">
        <v>97</v>
      </c>
      <c r="C45" s="7">
        <v>12</v>
      </c>
      <c r="D45" s="7">
        <v>2</v>
      </c>
      <c r="E45" s="7">
        <v>24</v>
      </c>
    </row>
    <row r="46" customHeight="1" spans="1:5">
      <c r="A46" s="5" t="s">
        <v>95</v>
      </c>
      <c r="B46" s="6" t="s">
        <v>98</v>
      </c>
      <c r="C46" s="7">
        <v>12</v>
      </c>
      <c r="D46" s="8">
        <v>45659</v>
      </c>
      <c r="E46" s="8">
        <v>45713</v>
      </c>
    </row>
    <row r="47" customHeight="1" spans="1:5">
      <c r="A47" s="5" t="s">
        <v>95</v>
      </c>
      <c r="B47" s="6" t="s">
        <v>99</v>
      </c>
      <c r="C47" s="7">
        <v>12</v>
      </c>
      <c r="D47" s="8">
        <v>45902</v>
      </c>
      <c r="E47" s="7" t="s">
        <v>100</v>
      </c>
    </row>
    <row r="48" customHeight="1" spans="1:5">
      <c r="A48" s="5" t="s">
        <v>95</v>
      </c>
      <c r="B48" s="6" t="s">
        <v>101</v>
      </c>
      <c r="C48" s="7">
        <v>12</v>
      </c>
      <c r="D48" s="8">
        <v>45871</v>
      </c>
      <c r="E48" s="7" t="s">
        <v>102</v>
      </c>
    </row>
    <row r="49" customHeight="1" spans="1:5">
      <c r="A49" s="5" t="s">
        <v>95</v>
      </c>
      <c r="B49" s="6" t="s">
        <v>103</v>
      </c>
      <c r="C49" s="7">
        <v>12</v>
      </c>
      <c r="D49" s="8">
        <v>45902</v>
      </c>
      <c r="E49" s="7" t="s">
        <v>100</v>
      </c>
    </row>
    <row r="50" customHeight="1" spans="1:5">
      <c r="A50" s="5" t="s">
        <v>104</v>
      </c>
      <c r="B50" s="6" t="s">
        <v>105</v>
      </c>
      <c r="C50" s="7">
        <v>12</v>
      </c>
      <c r="D50" s="8">
        <v>45750</v>
      </c>
      <c r="E50" s="7" t="s">
        <v>106</v>
      </c>
    </row>
    <row r="51" customHeight="1" spans="1:5">
      <c r="A51" s="5" t="s">
        <v>107</v>
      </c>
      <c r="B51" s="6" t="s">
        <v>108</v>
      </c>
      <c r="C51" s="7">
        <v>12</v>
      </c>
      <c r="D51" s="8">
        <v>45750</v>
      </c>
      <c r="E51" s="7" t="s">
        <v>106</v>
      </c>
    </row>
    <row r="52" customHeight="1" spans="1:5">
      <c r="A52" s="5" t="s">
        <v>107</v>
      </c>
      <c r="B52" s="6" t="s">
        <v>109</v>
      </c>
      <c r="C52" s="7">
        <v>12</v>
      </c>
      <c r="D52" s="8">
        <v>45872</v>
      </c>
      <c r="E52" s="7" t="s">
        <v>110</v>
      </c>
    </row>
    <row r="53" customHeight="1" spans="1:5">
      <c r="A53" s="5" t="s">
        <v>111</v>
      </c>
      <c r="B53" s="6" t="s">
        <v>112</v>
      </c>
      <c r="C53" s="7">
        <v>12</v>
      </c>
      <c r="D53" s="8">
        <v>45781</v>
      </c>
      <c r="E53" s="7">
        <v>54</v>
      </c>
    </row>
    <row r="54" customHeight="1" spans="1:5">
      <c r="A54" s="5" t="s">
        <v>86</v>
      </c>
      <c r="B54" s="6" t="s">
        <v>113</v>
      </c>
      <c r="C54" s="7">
        <v>12</v>
      </c>
      <c r="D54" s="7">
        <v>4</v>
      </c>
      <c r="E54" s="7">
        <v>48</v>
      </c>
    </row>
    <row r="55" customHeight="1" spans="1:5">
      <c r="A55" s="5" t="s">
        <v>114</v>
      </c>
      <c r="B55" s="6" t="s">
        <v>115</v>
      </c>
      <c r="C55" s="7">
        <v>12</v>
      </c>
      <c r="D55" s="7">
        <v>5</v>
      </c>
      <c r="E55" s="7">
        <v>60</v>
      </c>
    </row>
    <row r="56" customHeight="1" spans="1:5">
      <c r="A56" s="5" t="s">
        <v>114</v>
      </c>
      <c r="B56" s="6" t="s">
        <v>116</v>
      </c>
      <c r="C56" s="7">
        <v>12</v>
      </c>
      <c r="D56" s="7">
        <v>5</v>
      </c>
      <c r="E56" s="7">
        <v>60</v>
      </c>
    </row>
    <row r="57" customHeight="1" spans="1:5">
      <c r="A57" s="5" t="s">
        <v>86</v>
      </c>
      <c r="B57" s="6" t="s">
        <v>117</v>
      </c>
      <c r="C57" s="7">
        <v>12</v>
      </c>
      <c r="D57" s="7">
        <v>5</v>
      </c>
      <c r="E57" s="7">
        <v>60</v>
      </c>
    </row>
    <row r="58" customHeight="1" spans="1:5">
      <c r="A58" s="5" t="s">
        <v>86</v>
      </c>
      <c r="B58" s="6" t="s">
        <v>118</v>
      </c>
      <c r="C58" s="7">
        <v>12</v>
      </c>
      <c r="D58" s="8">
        <v>45782</v>
      </c>
      <c r="E58" s="7">
        <v>66</v>
      </c>
    </row>
    <row r="59" customHeight="1" spans="1:5">
      <c r="A59" s="5" t="s">
        <v>95</v>
      </c>
      <c r="B59" s="6" t="s">
        <v>119</v>
      </c>
      <c r="C59" s="7">
        <v>12</v>
      </c>
      <c r="D59" s="7">
        <v>5</v>
      </c>
      <c r="E59" s="7">
        <v>60</v>
      </c>
    </row>
    <row r="60" customHeight="1" spans="1:5">
      <c r="A60" s="5" t="s">
        <v>95</v>
      </c>
      <c r="B60" s="6" t="s">
        <v>120</v>
      </c>
      <c r="C60" s="7">
        <v>12</v>
      </c>
      <c r="D60" s="7">
        <v>5</v>
      </c>
      <c r="E60" s="7">
        <v>60</v>
      </c>
    </row>
    <row r="61" customHeight="1" spans="1:5">
      <c r="A61" s="5" t="s">
        <v>114</v>
      </c>
      <c r="B61" s="6" t="s">
        <v>121</v>
      </c>
      <c r="C61" s="7">
        <v>12</v>
      </c>
      <c r="D61" s="7">
        <v>7</v>
      </c>
      <c r="E61" s="7">
        <v>84</v>
      </c>
    </row>
    <row r="62" customHeight="1" spans="1:5">
      <c r="A62" s="5" t="s">
        <v>114</v>
      </c>
      <c r="B62" s="6" t="s">
        <v>122</v>
      </c>
      <c r="C62" s="7">
        <v>12</v>
      </c>
      <c r="D62" s="7">
        <v>7</v>
      </c>
      <c r="E62" s="7">
        <v>84</v>
      </c>
    </row>
    <row r="63" customHeight="1" spans="1:5">
      <c r="A63" s="5" t="s">
        <v>86</v>
      </c>
      <c r="B63" s="6" t="s">
        <v>123</v>
      </c>
      <c r="C63" s="7">
        <v>12</v>
      </c>
      <c r="D63" s="7">
        <v>7</v>
      </c>
      <c r="E63" s="7">
        <v>84</v>
      </c>
    </row>
    <row r="64" customHeight="1" spans="1:5">
      <c r="A64" s="5" t="s">
        <v>95</v>
      </c>
      <c r="B64" s="6" t="s">
        <v>124</v>
      </c>
      <c r="C64" s="7">
        <v>12</v>
      </c>
      <c r="D64" s="7">
        <v>7</v>
      </c>
      <c r="E64" s="7">
        <v>84</v>
      </c>
    </row>
    <row r="65" customHeight="1" spans="1:5">
      <c r="A65" s="5" t="s">
        <v>95</v>
      </c>
      <c r="B65" s="6" t="s">
        <v>125</v>
      </c>
      <c r="C65" s="7">
        <v>12</v>
      </c>
      <c r="D65" s="7">
        <v>7</v>
      </c>
      <c r="E65" s="7">
        <v>84</v>
      </c>
    </row>
    <row r="66" customHeight="1" spans="1:5">
      <c r="A66" s="5" t="s">
        <v>95</v>
      </c>
      <c r="B66" s="6" t="s">
        <v>126</v>
      </c>
      <c r="C66" s="7">
        <v>12</v>
      </c>
      <c r="D66" s="7">
        <v>8</v>
      </c>
      <c r="E66" s="7">
        <v>96</v>
      </c>
    </row>
    <row r="67" customHeight="1" spans="1:5">
      <c r="A67" s="5" t="s">
        <v>114</v>
      </c>
      <c r="B67" s="6" t="s">
        <v>127</v>
      </c>
      <c r="C67" s="7">
        <v>12</v>
      </c>
      <c r="D67" s="7">
        <v>9</v>
      </c>
      <c r="E67" s="7">
        <v>108</v>
      </c>
    </row>
    <row r="68" customHeight="1" spans="1:5">
      <c r="A68" s="5" t="s">
        <v>86</v>
      </c>
      <c r="B68" s="6" t="s">
        <v>128</v>
      </c>
      <c r="C68" s="7">
        <v>12</v>
      </c>
      <c r="D68" s="7">
        <v>9</v>
      </c>
      <c r="E68" s="7">
        <v>108</v>
      </c>
    </row>
    <row r="69" customHeight="1" spans="1:5">
      <c r="A69" s="5" t="s">
        <v>95</v>
      </c>
      <c r="B69" s="6" t="s">
        <v>129</v>
      </c>
      <c r="C69" s="7">
        <v>12</v>
      </c>
      <c r="D69" s="7">
        <v>9</v>
      </c>
      <c r="E69" s="7">
        <v>108</v>
      </c>
    </row>
    <row r="70" customHeight="1" spans="1:5">
      <c r="A70" s="5" t="s">
        <v>86</v>
      </c>
      <c r="B70" s="6" t="s">
        <v>130</v>
      </c>
      <c r="C70" s="7">
        <v>12</v>
      </c>
      <c r="D70" s="7">
        <v>10</v>
      </c>
      <c r="E70" s="7">
        <v>120</v>
      </c>
    </row>
    <row r="71" customHeight="1" spans="1:5">
      <c r="A71" s="5" t="s">
        <v>95</v>
      </c>
      <c r="B71" s="6" t="s">
        <v>131</v>
      </c>
      <c r="C71" s="7">
        <v>12</v>
      </c>
      <c r="D71" s="7">
        <v>10</v>
      </c>
      <c r="E71" s="7">
        <v>120</v>
      </c>
    </row>
    <row r="72" customHeight="1" spans="1:5">
      <c r="A72" s="5" t="s">
        <v>114</v>
      </c>
      <c r="B72" s="6" t="s">
        <v>132</v>
      </c>
      <c r="C72" s="7">
        <v>12</v>
      </c>
      <c r="D72" s="7">
        <v>12</v>
      </c>
      <c r="E72" s="7">
        <v>144</v>
      </c>
    </row>
    <row r="73" customHeight="1" spans="1:5">
      <c r="A73" s="5" t="s">
        <v>86</v>
      </c>
      <c r="B73" s="6" t="s">
        <v>133</v>
      </c>
      <c r="C73" s="7">
        <v>12</v>
      </c>
      <c r="D73" s="7">
        <v>12</v>
      </c>
      <c r="E73" s="7">
        <v>144</v>
      </c>
    </row>
    <row r="74" customHeight="1" spans="1:5">
      <c r="A74" s="5" t="s">
        <v>95</v>
      </c>
      <c r="B74" s="6" t="s">
        <v>134</v>
      </c>
      <c r="C74" s="7">
        <v>12</v>
      </c>
      <c r="D74" s="7">
        <v>12</v>
      </c>
      <c r="E74" s="7">
        <v>144</v>
      </c>
    </row>
    <row r="75" customHeight="1" spans="1:5">
      <c r="A75" s="5" t="s">
        <v>95</v>
      </c>
      <c r="B75" s="6" t="s">
        <v>135</v>
      </c>
      <c r="C75" s="7">
        <v>12</v>
      </c>
      <c r="D75" s="7">
        <v>14</v>
      </c>
      <c r="E75" s="7">
        <v>168</v>
      </c>
    </row>
    <row r="76" customHeight="1" spans="1:5">
      <c r="A76" s="5" t="s">
        <v>86</v>
      </c>
      <c r="B76" s="6" t="s">
        <v>136</v>
      </c>
      <c r="C76" s="7">
        <v>12</v>
      </c>
      <c r="D76" s="7">
        <v>17</v>
      </c>
      <c r="E76" s="7">
        <v>204</v>
      </c>
    </row>
    <row r="77" customHeight="1" spans="1:5">
      <c r="A77" s="5" t="s">
        <v>114</v>
      </c>
      <c r="B77" s="6" t="s">
        <v>137</v>
      </c>
      <c r="C77" s="7">
        <v>12</v>
      </c>
      <c r="D77" s="7">
        <v>18</v>
      </c>
      <c r="E77" s="7">
        <v>216</v>
      </c>
    </row>
    <row r="78" customHeight="1" spans="1:5">
      <c r="A78" s="5" t="s">
        <v>86</v>
      </c>
      <c r="B78" s="6" t="s">
        <v>138</v>
      </c>
      <c r="C78" s="7">
        <v>12</v>
      </c>
      <c r="D78" s="7">
        <v>18</v>
      </c>
      <c r="E78" s="7">
        <v>216</v>
      </c>
    </row>
    <row r="79" customHeight="1" spans="1:5">
      <c r="A79" s="5" t="s">
        <v>95</v>
      </c>
      <c r="B79" s="6" t="s">
        <v>139</v>
      </c>
      <c r="C79" s="7">
        <v>12</v>
      </c>
      <c r="D79" s="7">
        <v>18</v>
      </c>
      <c r="E79" s="7">
        <v>216</v>
      </c>
    </row>
    <row r="80" customHeight="1" spans="1:5">
      <c r="A80" s="5" t="s">
        <v>95</v>
      </c>
      <c r="B80" s="6" t="s">
        <v>140</v>
      </c>
      <c r="C80" s="7">
        <v>12</v>
      </c>
      <c r="D80" s="7">
        <v>18</v>
      </c>
      <c r="E80" s="7">
        <v>216</v>
      </c>
    </row>
    <row r="81" customHeight="1" spans="1:5">
      <c r="A81" s="5" t="s">
        <v>86</v>
      </c>
      <c r="B81" s="6" t="s">
        <v>141</v>
      </c>
      <c r="C81" s="7">
        <v>12</v>
      </c>
      <c r="D81" s="7">
        <v>20</v>
      </c>
      <c r="E81" s="7">
        <v>240</v>
      </c>
    </row>
    <row r="82" customHeight="1" spans="1:5">
      <c r="A82" s="5" t="s">
        <v>95</v>
      </c>
      <c r="B82" s="6" t="s">
        <v>142</v>
      </c>
      <c r="C82" s="7">
        <v>12</v>
      </c>
      <c r="D82" s="7">
        <v>20</v>
      </c>
      <c r="E82" s="7">
        <v>240</v>
      </c>
    </row>
    <row r="83" customHeight="1" spans="1:5">
      <c r="A83" s="5" t="s">
        <v>143</v>
      </c>
      <c r="B83" s="6" t="s">
        <v>144</v>
      </c>
      <c r="C83" s="7">
        <v>12</v>
      </c>
      <c r="D83" s="7">
        <v>21</v>
      </c>
      <c r="E83" s="7">
        <v>252</v>
      </c>
    </row>
    <row r="84" customHeight="1" spans="1:5">
      <c r="A84" s="5" t="s">
        <v>114</v>
      </c>
      <c r="B84" s="6" t="s">
        <v>145</v>
      </c>
      <c r="C84" s="7">
        <v>12</v>
      </c>
      <c r="D84" s="7">
        <v>24</v>
      </c>
      <c r="E84" s="7">
        <v>288</v>
      </c>
    </row>
    <row r="85" customHeight="1" spans="1:5">
      <c r="A85" s="5" t="s">
        <v>114</v>
      </c>
      <c r="B85" s="6" t="s">
        <v>146</v>
      </c>
      <c r="C85" s="7">
        <v>12</v>
      </c>
      <c r="D85" s="7">
        <v>24</v>
      </c>
      <c r="E85" s="7">
        <v>288</v>
      </c>
    </row>
    <row r="86" customHeight="1" spans="1:5">
      <c r="A86" s="5" t="s">
        <v>86</v>
      </c>
      <c r="B86" s="6" t="s">
        <v>147</v>
      </c>
      <c r="C86" s="7">
        <v>12</v>
      </c>
      <c r="D86" s="7">
        <v>26</v>
      </c>
      <c r="E86" s="7">
        <v>312</v>
      </c>
    </row>
    <row r="87" customHeight="1" spans="1:5">
      <c r="A87" s="5" t="s">
        <v>95</v>
      </c>
      <c r="B87" s="6" t="s">
        <v>148</v>
      </c>
      <c r="C87" s="7">
        <v>12</v>
      </c>
      <c r="D87" s="7">
        <v>26</v>
      </c>
      <c r="E87" s="7">
        <v>312</v>
      </c>
    </row>
    <row r="88" customHeight="1" spans="1:5">
      <c r="A88" s="5" t="s">
        <v>95</v>
      </c>
      <c r="B88" s="6" t="s">
        <v>149</v>
      </c>
      <c r="C88" s="7">
        <v>12</v>
      </c>
      <c r="D88" s="7">
        <v>26</v>
      </c>
      <c r="E88" s="7">
        <v>312</v>
      </c>
    </row>
    <row r="89" customHeight="1" spans="1:5">
      <c r="A89" s="5" t="s">
        <v>86</v>
      </c>
      <c r="B89" s="6" t="s">
        <v>150</v>
      </c>
      <c r="C89" s="7">
        <v>12</v>
      </c>
      <c r="D89" s="7">
        <v>28</v>
      </c>
      <c r="E89" s="7">
        <v>336</v>
      </c>
    </row>
    <row r="90" customHeight="1" spans="1:5">
      <c r="A90" s="5" t="s">
        <v>95</v>
      </c>
      <c r="B90" s="6" t="s">
        <v>151</v>
      </c>
      <c r="C90" s="7">
        <v>12</v>
      </c>
      <c r="D90" s="7">
        <v>28</v>
      </c>
      <c r="E90" s="7">
        <v>336</v>
      </c>
    </row>
    <row r="91" customHeight="1" spans="1:5">
      <c r="A91" s="5" t="s">
        <v>114</v>
      </c>
      <c r="B91" s="6" t="s">
        <v>152</v>
      </c>
      <c r="C91" s="7">
        <v>12</v>
      </c>
      <c r="D91" s="7">
        <v>33</v>
      </c>
      <c r="E91" s="7">
        <v>396</v>
      </c>
    </row>
    <row r="92" customHeight="1" spans="1:5">
      <c r="A92" s="5" t="s">
        <v>86</v>
      </c>
      <c r="B92" s="6" t="s">
        <v>153</v>
      </c>
      <c r="C92" s="7">
        <v>12</v>
      </c>
      <c r="D92" s="7">
        <v>33</v>
      </c>
      <c r="E92" s="7">
        <v>396</v>
      </c>
    </row>
    <row r="93" customHeight="1" spans="1:5">
      <c r="A93" s="5" t="s">
        <v>95</v>
      </c>
      <c r="B93" s="6" t="s">
        <v>154</v>
      </c>
      <c r="C93" s="7">
        <v>12</v>
      </c>
      <c r="D93" s="7">
        <v>33</v>
      </c>
      <c r="E93" s="7">
        <v>396</v>
      </c>
    </row>
    <row r="94" customHeight="1" spans="1:5">
      <c r="A94" s="5" t="s">
        <v>95</v>
      </c>
      <c r="B94" s="6" t="s">
        <v>155</v>
      </c>
      <c r="C94" s="7">
        <v>12</v>
      </c>
      <c r="D94" s="7">
        <v>35</v>
      </c>
      <c r="E94" s="7">
        <v>420</v>
      </c>
    </row>
    <row r="95" customHeight="1" spans="1:5">
      <c r="A95" s="5" t="s">
        <v>86</v>
      </c>
      <c r="B95" s="6" t="s">
        <v>156</v>
      </c>
      <c r="C95" s="7">
        <v>12</v>
      </c>
      <c r="D95" s="7">
        <v>36</v>
      </c>
      <c r="E95" s="7">
        <v>432</v>
      </c>
    </row>
    <row r="96" customHeight="1" spans="1:5">
      <c r="A96" s="5" t="s">
        <v>157</v>
      </c>
      <c r="B96" s="6" t="s">
        <v>158</v>
      </c>
      <c r="C96" s="7">
        <v>12</v>
      </c>
      <c r="D96" s="7">
        <v>38</v>
      </c>
      <c r="E96" s="7">
        <v>456</v>
      </c>
    </row>
    <row r="97" customHeight="1" spans="1:5">
      <c r="A97" s="5" t="s">
        <v>114</v>
      </c>
      <c r="B97" s="6" t="s">
        <v>159</v>
      </c>
      <c r="C97" s="7">
        <v>12</v>
      </c>
      <c r="D97" s="7">
        <v>38</v>
      </c>
      <c r="E97" s="7">
        <v>456</v>
      </c>
    </row>
    <row r="98" customHeight="1" spans="1:5">
      <c r="A98" s="5" t="s">
        <v>86</v>
      </c>
      <c r="B98" s="6" t="s">
        <v>160</v>
      </c>
      <c r="C98" s="7">
        <v>12</v>
      </c>
      <c r="D98" s="7">
        <v>38</v>
      </c>
      <c r="E98" s="7">
        <v>456</v>
      </c>
    </row>
    <row r="99" customHeight="1" spans="1:5">
      <c r="A99" s="5" t="s">
        <v>161</v>
      </c>
      <c r="B99" s="6" t="s">
        <v>162</v>
      </c>
      <c r="C99" s="7">
        <v>12</v>
      </c>
      <c r="D99" s="7">
        <v>40</v>
      </c>
      <c r="E99" s="7">
        <v>480</v>
      </c>
    </row>
    <row r="100" customHeight="1" spans="1:5">
      <c r="A100" s="5" t="s">
        <v>163</v>
      </c>
      <c r="B100" s="6" t="s">
        <v>164</v>
      </c>
      <c r="C100" s="7">
        <v>12</v>
      </c>
      <c r="D100" s="7">
        <v>40</v>
      </c>
      <c r="E100" s="7">
        <v>480</v>
      </c>
    </row>
    <row r="101" customHeight="1" spans="1:5">
      <c r="A101" s="5" t="s">
        <v>86</v>
      </c>
      <c r="B101" s="6" t="s">
        <v>165</v>
      </c>
      <c r="C101" s="7">
        <v>12</v>
      </c>
      <c r="D101" s="7">
        <v>40</v>
      </c>
      <c r="E101" s="7">
        <v>480</v>
      </c>
    </row>
    <row r="102" customHeight="1" spans="1:5">
      <c r="A102" s="5" t="s">
        <v>95</v>
      </c>
      <c r="B102" s="6" t="s">
        <v>166</v>
      </c>
      <c r="C102" s="7">
        <v>12</v>
      </c>
      <c r="D102" s="7">
        <v>40</v>
      </c>
      <c r="E102" s="7">
        <v>480</v>
      </c>
    </row>
    <row r="103" customHeight="1" spans="1:5">
      <c r="A103" s="5" t="s">
        <v>114</v>
      </c>
      <c r="B103" s="6" t="s">
        <v>167</v>
      </c>
      <c r="C103" s="7">
        <v>12</v>
      </c>
      <c r="D103" s="7">
        <v>55</v>
      </c>
      <c r="E103" s="7">
        <v>660</v>
      </c>
    </row>
    <row r="104" customHeight="1" spans="1:5">
      <c r="A104" s="5" t="s">
        <v>86</v>
      </c>
      <c r="B104" s="6" t="s">
        <v>168</v>
      </c>
      <c r="C104" s="7">
        <v>12</v>
      </c>
      <c r="D104" s="7">
        <v>55</v>
      </c>
      <c r="E104" s="7">
        <v>660</v>
      </c>
    </row>
    <row r="105" customHeight="1" spans="1:5">
      <c r="A105" s="5" t="s">
        <v>95</v>
      </c>
      <c r="B105" s="6" t="s">
        <v>169</v>
      </c>
      <c r="C105" s="7">
        <v>12</v>
      </c>
      <c r="D105" s="7">
        <v>55</v>
      </c>
      <c r="E105" s="7">
        <v>660</v>
      </c>
    </row>
    <row r="106" customHeight="1" spans="1:5">
      <c r="A106" s="5" t="s">
        <v>86</v>
      </c>
      <c r="B106" s="6" t="s">
        <v>170</v>
      </c>
      <c r="C106" s="7">
        <v>12</v>
      </c>
      <c r="D106" s="7">
        <v>60</v>
      </c>
      <c r="E106" s="7">
        <v>720</v>
      </c>
    </row>
    <row r="107" customHeight="1" spans="1:5">
      <c r="A107" s="5" t="s">
        <v>157</v>
      </c>
      <c r="B107" s="6" t="s">
        <v>171</v>
      </c>
      <c r="C107" s="7">
        <v>12</v>
      </c>
      <c r="D107" s="7">
        <v>65</v>
      </c>
      <c r="E107" s="7">
        <v>780</v>
      </c>
    </row>
    <row r="108" customHeight="1" spans="1:5">
      <c r="A108" s="5" t="s">
        <v>86</v>
      </c>
      <c r="B108" s="6" t="s">
        <v>172</v>
      </c>
      <c r="C108" s="7">
        <v>12</v>
      </c>
      <c r="D108" s="7">
        <v>65</v>
      </c>
      <c r="E108" s="7">
        <v>780</v>
      </c>
    </row>
    <row r="109" customHeight="1" spans="1:5">
      <c r="A109" s="5" t="s">
        <v>95</v>
      </c>
      <c r="B109" s="6" t="s">
        <v>173</v>
      </c>
      <c r="C109" s="7">
        <v>12</v>
      </c>
      <c r="D109" s="7">
        <v>65</v>
      </c>
      <c r="E109" s="7">
        <v>780</v>
      </c>
    </row>
    <row r="110" customHeight="1" spans="1:5">
      <c r="A110" s="5" t="s">
        <v>86</v>
      </c>
      <c r="B110" s="6" t="s">
        <v>174</v>
      </c>
      <c r="C110" s="7">
        <v>12</v>
      </c>
      <c r="D110" s="7">
        <v>75</v>
      </c>
      <c r="E110" s="7">
        <v>900</v>
      </c>
    </row>
    <row r="111" customHeight="1" spans="1:5">
      <c r="A111" s="5" t="s">
        <v>95</v>
      </c>
      <c r="B111" s="6" t="s">
        <v>175</v>
      </c>
      <c r="C111" s="7">
        <v>12</v>
      </c>
      <c r="D111" s="7">
        <v>75</v>
      </c>
      <c r="E111" s="7">
        <v>900</v>
      </c>
    </row>
    <row r="112" customHeight="1" spans="1:5">
      <c r="A112" s="5" t="s">
        <v>86</v>
      </c>
      <c r="B112" s="6" t="s">
        <v>176</v>
      </c>
      <c r="C112" s="7">
        <v>12</v>
      </c>
      <c r="D112" s="7">
        <v>80</v>
      </c>
      <c r="E112" s="7">
        <v>960</v>
      </c>
    </row>
    <row r="113" customHeight="1" spans="1:5">
      <c r="A113" s="5" t="s">
        <v>157</v>
      </c>
      <c r="B113" s="6" t="s">
        <v>177</v>
      </c>
      <c r="C113" s="7">
        <v>12</v>
      </c>
      <c r="D113" s="7">
        <v>100</v>
      </c>
      <c r="E113" s="7">
        <v>1200</v>
      </c>
    </row>
    <row r="114" customHeight="1" spans="1:5">
      <c r="A114" s="5" t="s">
        <v>161</v>
      </c>
      <c r="B114" s="6" t="s">
        <v>178</v>
      </c>
      <c r="C114" s="7">
        <v>12</v>
      </c>
      <c r="D114" s="7">
        <v>100</v>
      </c>
      <c r="E114" s="7">
        <v>1200</v>
      </c>
    </row>
    <row r="115" customHeight="1" spans="1:5">
      <c r="A115" s="5" t="s">
        <v>95</v>
      </c>
      <c r="B115" s="6" t="s">
        <v>179</v>
      </c>
      <c r="C115" s="7">
        <v>12</v>
      </c>
      <c r="D115" s="7">
        <v>100</v>
      </c>
      <c r="E115" s="7">
        <v>1200</v>
      </c>
    </row>
    <row r="116" customHeight="1" spans="1:5">
      <c r="A116" s="5" t="s">
        <v>95</v>
      </c>
      <c r="B116" s="6" t="s">
        <v>180</v>
      </c>
      <c r="C116" s="7">
        <v>12</v>
      </c>
      <c r="D116" s="7">
        <v>100</v>
      </c>
      <c r="E116" s="7">
        <v>1200</v>
      </c>
    </row>
    <row r="117" customHeight="1" spans="1:5">
      <c r="A117" s="5" t="s">
        <v>95</v>
      </c>
      <c r="B117" s="6" t="s">
        <v>181</v>
      </c>
      <c r="C117" s="7">
        <v>12</v>
      </c>
      <c r="D117" s="7">
        <v>110</v>
      </c>
      <c r="E117" s="7">
        <v>1320</v>
      </c>
    </row>
    <row r="118" customHeight="1" spans="1:5">
      <c r="A118" s="5" t="s">
        <v>161</v>
      </c>
      <c r="B118" s="6" t="s">
        <v>182</v>
      </c>
      <c r="C118" s="7">
        <v>12</v>
      </c>
      <c r="D118" s="7">
        <v>150</v>
      </c>
      <c r="E118" s="7">
        <v>1800</v>
      </c>
    </row>
    <row r="119" customHeight="1" spans="1:5">
      <c r="A119" s="5" t="s">
        <v>379</v>
      </c>
      <c r="B119" s="6" t="s">
        <v>184</v>
      </c>
      <c r="C119" s="7">
        <v>12</v>
      </c>
      <c r="D119" s="7">
        <v>36</v>
      </c>
      <c r="E119" s="7">
        <v>432</v>
      </c>
    </row>
    <row r="120" customHeight="1" spans="1:5">
      <c r="A120" s="5" t="s">
        <v>379</v>
      </c>
      <c r="B120" s="6" t="s">
        <v>185</v>
      </c>
      <c r="C120" s="7">
        <v>12</v>
      </c>
      <c r="D120" s="8">
        <v>45785</v>
      </c>
      <c r="E120" s="7">
        <v>102</v>
      </c>
    </row>
    <row r="121" customHeight="1" spans="1:5">
      <c r="A121" s="5" t="s">
        <v>379</v>
      </c>
      <c r="B121" s="6" t="s">
        <v>186</v>
      </c>
      <c r="C121" s="7">
        <v>12</v>
      </c>
      <c r="D121" s="7">
        <v>150</v>
      </c>
      <c r="E121" s="7">
        <v>1800</v>
      </c>
    </row>
    <row r="122" customHeight="1" spans="1:5">
      <c r="A122" s="5" t="s">
        <v>379</v>
      </c>
      <c r="B122" s="6" t="s">
        <v>187</v>
      </c>
      <c r="C122" s="7">
        <v>12</v>
      </c>
      <c r="D122" s="7">
        <v>12</v>
      </c>
      <c r="E122" s="7">
        <v>144</v>
      </c>
    </row>
    <row r="123" customHeight="1" spans="1:5">
      <c r="A123" s="5" t="s">
        <v>379</v>
      </c>
      <c r="B123" s="6" t="s">
        <v>188</v>
      </c>
      <c r="C123" s="7">
        <v>12</v>
      </c>
      <c r="D123" s="7">
        <v>14</v>
      </c>
      <c r="E123" s="7">
        <v>168</v>
      </c>
    </row>
    <row r="124" customHeight="1" spans="1:5">
      <c r="A124" s="5" t="s">
        <v>379</v>
      </c>
      <c r="B124" s="6" t="s">
        <v>189</v>
      </c>
      <c r="C124" s="7">
        <v>12</v>
      </c>
      <c r="D124" s="7">
        <v>20</v>
      </c>
      <c r="E124" s="7">
        <v>240</v>
      </c>
    </row>
    <row r="125" customHeight="1" spans="1:5">
      <c r="A125" s="5" t="s">
        <v>379</v>
      </c>
      <c r="B125" s="6" t="s">
        <v>190</v>
      </c>
      <c r="C125" s="7">
        <v>12</v>
      </c>
      <c r="D125" s="7">
        <v>58</v>
      </c>
      <c r="E125" s="7">
        <v>696</v>
      </c>
    </row>
    <row r="126" customHeight="1" spans="1:5">
      <c r="A126" s="5" t="s">
        <v>379</v>
      </c>
      <c r="B126" s="6" t="s">
        <v>191</v>
      </c>
      <c r="C126" s="7">
        <v>12</v>
      </c>
      <c r="D126" s="7">
        <v>82</v>
      </c>
      <c r="E126" s="7">
        <v>984</v>
      </c>
    </row>
    <row r="127" customHeight="1" spans="1:5">
      <c r="A127" s="5" t="s">
        <v>379</v>
      </c>
      <c r="B127" s="6" t="s">
        <v>192</v>
      </c>
      <c r="C127" s="7">
        <v>12</v>
      </c>
      <c r="D127" s="7">
        <v>95</v>
      </c>
      <c r="E127" s="7">
        <v>1140</v>
      </c>
    </row>
    <row r="128" customHeight="1" spans="1:5">
      <c r="A128" s="5" t="s">
        <v>379</v>
      </c>
      <c r="B128" s="6" t="s">
        <v>193</v>
      </c>
      <c r="C128" s="7">
        <v>12</v>
      </c>
      <c r="D128" s="7">
        <v>110</v>
      </c>
      <c r="E128" s="7">
        <v>1320</v>
      </c>
    </row>
    <row r="129" customHeight="1" spans="1:5">
      <c r="A129" s="5" t="s">
        <v>380</v>
      </c>
      <c r="B129" s="6" t="s">
        <v>195</v>
      </c>
      <c r="C129" s="7">
        <v>12</v>
      </c>
      <c r="D129" s="7">
        <v>30</v>
      </c>
      <c r="E129" s="7">
        <v>360</v>
      </c>
    </row>
    <row r="130" customHeight="1" spans="1:5">
      <c r="A130" s="5" t="s">
        <v>380</v>
      </c>
      <c r="B130" s="6" t="s">
        <v>196</v>
      </c>
      <c r="C130" s="7">
        <v>12</v>
      </c>
      <c r="D130" s="7">
        <v>42</v>
      </c>
      <c r="E130" s="7">
        <v>504</v>
      </c>
    </row>
    <row r="131" customHeight="1" spans="1:5">
      <c r="A131" s="5" t="s">
        <v>380</v>
      </c>
      <c r="B131" s="6" t="s">
        <v>197</v>
      </c>
      <c r="C131" s="7">
        <v>12</v>
      </c>
      <c r="D131" s="7">
        <v>42</v>
      </c>
      <c r="E131" s="7">
        <v>504</v>
      </c>
    </row>
    <row r="132" customHeight="1" spans="1:5">
      <c r="A132" s="5" t="s">
        <v>380</v>
      </c>
      <c r="B132" s="6" t="s">
        <v>198</v>
      </c>
      <c r="C132" s="7">
        <v>12</v>
      </c>
      <c r="D132" s="7">
        <v>75</v>
      </c>
      <c r="E132" s="7">
        <v>900</v>
      </c>
    </row>
    <row r="133" customHeight="1" spans="1:5">
      <c r="A133" s="5" t="s">
        <v>380</v>
      </c>
      <c r="B133" s="6" t="s">
        <v>199</v>
      </c>
      <c r="C133" s="7">
        <v>12</v>
      </c>
      <c r="D133" s="7" t="s">
        <v>200</v>
      </c>
      <c r="E133" s="10" t="s">
        <v>201</v>
      </c>
    </row>
    <row r="134" customHeight="1" spans="1:5">
      <c r="A134" s="5" t="s">
        <v>380</v>
      </c>
      <c r="B134" s="6" t="s">
        <v>202</v>
      </c>
      <c r="C134" s="7">
        <v>12</v>
      </c>
      <c r="D134" s="7">
        <v>126</v>
      </c>
      <c r="E134" s="7">
        <v>1512</v>
      </c>
    </row>
    <row r="135" customHeight="1" spans="1:5">
      <c r="A135" s="5" t="s">
        <v>380</v>
      </c>
      <c r="B135" s="6" t="s">
        <v>203</v>
      </c>
      <c r="C135" s="7">
        <v>12</v>
      </c>
      <c r="D135" s="7">
        <v>147</v>
      </c>
      <c r="E135" s="7">
        <v>1764</v>
      </c>
    </row>
    <row r="136" customHeight="1" spans="1:5">
      <c r="A136" s="5" t="s">
        <v>381</v>
      </c>
      <c r="B136" s="6" t="s">
        <v>205</v>
      </c>
      <c r="C136" s="7">
        <v>12</v>
      </c>
      <c r="D136" s="7">
        <v>38</v>
      </c>
      <c r="E136" s="7">
        <v>456</v>
      </c>
    </row>
    <row r="137" customHeight="1" spans="1:5">
      <c r="A137" s="5" t="s">
        <v>381</v>
      </c>
      <c r="B137" s="6" t="s">
        <v>206</v>
      </c>
      <c r="C137" s="7">
        <v>12</v>
      </c>
      <c r="D137" s="8">
        <v>45785</v>
      </c>
      <c r="E137" s="7">
        <v>102</v>
      </c>
    </row>
    <row r="138" customHeight="1" spans="1:5">
      <c r="A138" s="5" t="s">
        <v>381</v>
      </c>
      <c r="B138" s="6" t="s">
        <v>207</v>
      </c>
      <c r="C138" s="7">
        <v>12</v>
      </c>
      <c r="D138" s="7">
        <v>18</v>
      </c>
      <c r="E138" s="7">
        <v>216</v>
      </c>
    </row>
    <row r="139" customHeight="1" spans="1:5">
      <c r="A139" s="5" t="s">
        <v>381</v>
      </c>
      <c r="B139" s="6" t="s">
        <v>208</v>
      </c>
      <c r="C139" s="7">
        <v>12</v>
      </c>
      <c r="D139" s="7">
        <v>24</v>
      </c>
      <c r="E139" s="7">
        <v>288</v>
      </c>
    </row>
    <row r="140" customHeight="1" spans="1:5">
      <c r="A140" s="5" t="s">
        <v>381</v>
      </c>
      <c r="B140" s="6" t="s">
        <v>209</v>
      </c>
      <c r="C140" s="7">
        <v>12</v>
      </c>
      <c r="D140" s="7">
        <v>33</v>
      </c>
      <c r="E140" s="7">
        <v>396</v>
      </c>
    </row>
    <row r="141" customHeight="1" spans="1:5">
      <c r="A141" s="5" t="s">
        <v>381</v>
      </c>
      <c r="B141" s="6" t="s">
        <v>210</v>
      </c>
      <c r="C141" s="7">
        <v>12</v>
      </c>
      <c r="D141" s="7">
        <v>38</v>
      </c>
      <c r="E141" s="7">
        <v>456</v>
      </c>
    </row>
    <row r="142" customHeight="1" spans="1:5">
      <c r="A142" s="5" t="s">
        <v>381</v>
      </c>
      <c r="B142" s="6" t="s">
        <v>211</v>
      </c>
      <c r="C142" s="7">
        <v>12</v>
      </c>
      <c r="D142" s="7">
        <v>215</v>
      </c>
      <c r="E142" s="7">
        <v>2580</v>
      </c>
    </row>
    <row r="143" customHeight="1" spans="1:5">
      <c r="A143" s="5" t="s">
        <v>382</v>
      </c>
      <c r="B143" s="6" t="s">
        <v>213</v>
      </c>
      <c r="C143" s="7">
        <v>8</v>
      </c>
      <c r="D143" s="7">
        <v>225</v>
      </c>
      <c r="E143" s="7">
        <v>1800</v>
      </c>
    </row>
    <row r="144" customHeight="1" spans="1:5">
      <c r="A144" s="5" t="s">
        <v>382</v>
      </c>
      <c r="B144" s="6" t="s">
        <v>214</v>
      </c>
      <c r="C144" s="7">
        <v>8</v>
      </c>
      <c r="D144" s="7">
        <v>170</v>
      </c>
      <c r="E144" s="7">
        <v>1360</v>
      </c>
    </row>
    <row r="145" customHeight="1" spans="1:5">
      <c r="A145" s="5" t="s">
        <v>383</v>
      </c>
      <c r="B145" s="6" t="s">
        <v>216</v>
      </c>
      <c r="C145" s="7">
        <v>12</v>
      </c>
      <c r="D145" s="7">
        <v>33</v>
      </c>
      <c r="E145" s="7">
        <v>396</v>
      </c>
    </row>
    <row r="146" customHeight="1" spans="1:5">
      <c r="A146" s="5" t="s">
        <v>383</v>
      </c>
      <c r="B146" s="6" t="s">
        <v>217</v>
      </c>
      <c r="C146" s="7">
        <v>12</v>
      </c>
      <c r="D146" s="7">
        <v>40</v>
      </c>
      <c r="E146" s="7">
        <v>480</v>
      </c>
    </row>
    <row r="147" customHeight="1" spans="1:5">
      <c r="A147" s="5" t="s">
        <v>383</v>
      </c>
      <c r="B147" s="6" t="s">
        <v>218</v>
      </c>
      <c r="C147" s="7">
        <v>12</v>
      </c>
      <c r="D147" s="7">
        <v>55</v>
      </c>
      <c r="E147" s="7">
        <v>660</v>
      </c>
    </row>
    <row r="148" customHeight="1" spans="1:5">
      <c r="A148" s="5" t="s">
        <v>383</v>
      </c>
      <c r="B148" s="6" t="s">
        <v>219</v>
      </c>
      <c r="C148" s="7">
        <v>12</v>
      </c>
      <c r="D148" s="7">
        <v>65</v>
      </c>
      <c r="E148" s="7">
        <v>780</v>
      </c>
    </row>
    <row r="149" customHeight="1" spans="1:5">
      <c r="A149" s="5" t="s">
        <v>383</v>
      </c>
      <c r="B149" s="6" t="s">
        <v>220</v>
      </c>
      <c r="C149" s="7">
        <v>12</v>
      </c>
      <c r="D149" s="7">
        <v>70</v>
      </c>
      <c r="E149" s="7">
        <v>840</v>
      </c>
    </row>
    <row r="150" customHeight="1" spans="1:5">
      <c r="A150" s="5" t="s">
        <v>383</v>
      </c>
      <c r="B150" s="6" t="s">
        <v>221</v>
      </c>
      <c r="C150" s="7">
        <v>12</v>
      </c>
      <c r="D150" s="7">
        <v>100</v>
      </c>
      <c r="E150" s="7">
        <v>1200</v>
      </c>
    </row>
    <row r="151" customHeight="1" spans="1:5">
      <c r="A151" s="5" t="s">
        <v>383</v>
      </c>
      <c r="B151" s="6" t="s">
        <v>222</v>
      </c>
      <c r="C151" s="7">
        <v>12</v>
      </c>
      <c r="D151" s="7">
        <v>120</v>
      </c>
      <c r="E151" s="7">
        <v>1440</v>
      </c>
    </row>
    <row r="152" customHeight="1" spans="1:5">
      <c r="A152" s="5" t="s">
        <v>383</v>
      </c>
      <c r="B152" s="6" t="s">
        <v>223</v>
      </c>
      <c r="C152" s="7">
        <v>12</v>
      </c>
      <c r="D152" s="7">
        <v>120</v>
      </c>
      <c r="E152" s="7">
        <v>1440</v>
      </c>
    </row>
    <row r="153" customHeight="1" spans="1:5">
      <c r="A153" s="5" t="s">
        <v>383</v>
      </c>
      <c r="B153" s="6" t="s">
        <v>224</v>
      </c>
      <c r="C153" s="7">
        <v>12</v>
      </c>
      <c r="D153" s="7">
        <v>150</v>
      </c>
      <c r="E153" s="7">
        <v>1800</v>
      </c>
    </row>
    <row r="154" customHeight="1" spans="1:5">
      <c r="A154" s="5" t="s">
        <v>383</v>
      </c>
      <c r="B154" s="6" t="s">
        <v>225</v>
      </c>
      <c r="C154" s="7">
        <v>12</v>
      </c>
      <c r="D154" s="7">
        <v>200</v>
      </c>
      <c r="E154" s="7">
        <v>2400</v>
      </c>
    </row>
    <row r="155" customHeight="1" spans="1:5">
      <c r="A155" s="5" t="s">
        <v>383</v>
      </c>
      <c r="B155" s="6" t="s">
        <v>226</v>
      </c>
      <c r="C155" s="7">
        <v>12</v>
      </c>
      <c r="D155" s="7">
        <v>28</v>
      </c>
      <c r="E155" s="7">
        <v>336</v>
      </c>
    </row>
    <row r="156" customHeight="1" spans="1:5">
      <c r="A156" s="5" t="s">
        <v>383</v>
      </c>
      <c r="B156" s="6" t="s">
        <v>227</v>
      </c>
      <c r="C156" s="7">
        <v>12</v>
      </c>
      <c r="D156" s="7">
        <v>62</v>
      </c>
      <c r="E156" s="7">
        <v>744</v>
      </c>
    </row>
    <row r="157" customHeight="1" spans="1:5">
      <c r="A157" s="5" t="s">
        <v>383</v>
      </c>
      <c r="B157" s="6" t="s">
        <v>228</v>
      </c>
      <c r="C157" s="7">
        <v>12</v>
      </c>
      <c r="D157" s="7">
        <v>12</v>
      </c>
      <c r="E157" s="7">
        <v>144</v>
      </c>
    </row>
    <row r="158" customHeight="1" spans="1:5">
      <c r="A158" s="5" t="s">
        <v>384</v>
      </c>
      <c r="B158" s="6" t="s">
        <v>230</v>
      </c>
      <c r="C158" s="7">
        <v>12</v>
      </c>
      <c r="D158" s="7">
        <v>4</v>
      </c>
      <c r="E158" s="7">
        <v>48</v>
      </c>
    </row>
    <row r="159" customHeight="1" spans="2:5">
      <c r="B159" s="6" t="s">
        <v>231</v>
      </c>
      <c r="C159" s="7">
        <v>12</v>
      </c>
      <c r="D159" s="7">
        <v>6</v>
      </c>
      <c r="E159" s="7">
        <v>72</v>
      </c>
    </row>
    <row r="160" customHeight="1" spans="2:5">
      <c r="B160" s="6" t="s">
        <v>232</v>
      </c>
      <c r="C160" s="7">
        <v>12</v>
      </c>
      <c r="D160" s="7">
        <v>6</v>
      </c>
      <c r="E160" s="7">
        <v>72</v>
      </c>
    </row>
    <row r="161" customHeight="1" spans="2:5">
      <c r="B161" s="6" t="s">
        <v>233</v>
      </c>
      <c r="C161" s="7">
        <v>12</v>
      </c>
      <c r="D161" s="7">
        <v>8</v>
      </c>
      <c r="E161" s="7">
        <v>96</v>
      </c>
    </row>
    <row r="162" customHeight="1" spans="2:5">
      <c r="B162" s="6" t="s">
        <v>234</v>
      </c>
      <c r="C162" s="7">
        <v>12</v>
      </c>
      <c r="D162" s="7">
        <v>10</v>
      </c>
      <c r="E162" s="7">
        <v>120</v>
      </c>
    </row>
    <row r="163" customHeight="1" spans="2:5">
      <c r="B163" s="6" t="s">
        <v>235</v>
      </c>
      <c r="C163" s="7">
        <v>12</v>
      </c>
      <c r="D163" s="7">
        <v>12</v>
      </c>
      <c r="E163" s="7">
        <v>144</v>
      </c>
    </row>
    <row r="164" customHeight="1" spans="2:5">
      <c r="B164" s="6" t="s">
        <v>178</v>
      </c>
      <c r="C164" s="7">
        <v>12</v>
      </c>
      <c r="D164" s="7">
        <v>100</v>
      </c>
      <c r="E164" s="7">
        <v>1200</v>
      </c>
    </row>
    <row r="165" customHeight="1" spans="2:5">
      <c r="B165" s="6" t="s">
        <v>182</v>
      </c>
      <c r="C165" s="7">
        <v>12</v>
      </c>
      <c r="D165" s="7">
        <v>150</v>
      </c>
      <c r="E165" s="7">
        <v>1800</v>
      </c>
    </row>
    <row r="166" customHeight="1" spans="2:5">
      <c r="B166" s="6" t="s">
        <v>162</v>
      </c>
      <c r="C166" s="7">
        <v>12</v>
      </c>
      <c r="D166" s="7">
        <v>40</v>
      </c>
      <c r="E166" s="7">
        <v>480</v>
      </c>
    </row>
    <row r="167" customHeight="1" spans="2:5">
      <c r="B167" s="6" t="s">
        <v>236</v>
      </c>
      <c r="C167" s="7">
        <v>12</v>
      </c>
      <c r="D167" s="7">
        <v>100</v>
      </c>
      <c r="E167" s="7">
        <v>1200</v>
      </c>
    </row>
    <row r="168" customHeight="1" spans="2:5">
      <c r="B168" s="6" t="s">
        <v>237</v>
      </c>
      <c r="C168" s="7">
        <v>12</v>
      </c>
      <c r="D168" s="7">
        <v>150</v>
      </c>
      <c r="E168" s="7">
        <v>1800</v>
      </c>
    </row>
    <row r="169" customHeight="1" spans="2:5">
      <c r="B169" s="6" t="s">
        <v>238</v>
      </c>
      <c r="C169" s="7">
        <v>12</v>
      </c>
      <c r="D169" s="7">
        <v>200</v>
      </c>
      <c r="E169" s="7">
        <v>2400</v>
      </c>
    </row>
    <row r="170" customHeight="1" spans="1:5">
      <c r="A170" s="5" t="s">
        <v>240</v>
      </c>
      <c r="B170" s="6" t="s">
        <v>241</v>
      </c>
      <c r="C170" s="8">
        <v>45778</v>
      </c>
      <c r="D170" s="7">
        <v>25</v>
      </c>
      <c r="E170" s="7" t="s">
        <v>242</v>
      </c>
    </row>
    <row r="171" customHeight="1" spans="1:5">
      <c r="A171" s="5" t="s">
        <v>243</v>
      </c>
      <c r="B171" s="6" t="s">
        <v>244</v>
      </c>
      <c r="C171" s="7">
        <v>12</v>
      </c>
      <c r="D171" s="7">
        <v>55</v>
      </c>
      <c r="E171" s="7">
        <v>660</v>
      </c>
    </row>
    <row r="172" customHeight="1" spans="1:5">
      <c r="A172" s="5" t="s">
        <v>245</v>
      </c>
      <c r="B172" s="6" t="s">
        <v>246</v>
      </c>
      <c r="C172" s="7">
        <v>9</v>
      </c>
      <c r="D172" s="7" t="s">
        <v>247</v>
      </c>
      <c r="E172" s="7" t="s">
        <v>248</v>
      </c>
    </row>
    <row r="173" customHeight="1" spans="1:5">
      <c r="A173" s="5" t="s">
        <v>250</v>
      </c>
      <c r="B173" s="6" t="s">
        <v>251</v>
      </c>
      <c r="C173" s="7">
        <v>3</v>
      </c>
      <c r="D173" s="7">
        <v>25</v>
      </c>
      <c r="E173" s="7">
        <v>75</v>
      </c>
    </row>
    <row r="174" customHeight="1" spans="1:5">
      <c r="A174" s="5" t="s">
        <v>250</v>
      </c>
      <c r="B174" s="6" t="s">
        <v>252</v>
      </c>
      <c r="C174" s="7">
        <v>3</v>
      </c>
      <c r="D174" s="7">
        <v>38</v>
      </c>
      <c r="E174" s="7">
        <v>114</v>
      </c>
    </row>
    <row r="175" customHeight="1" spans="1:5">
      <c r="A175" s="5" t="s">
        <v>250</v>
      </c>
      <c r="B175" s="6" t="s">
        <v>253</v>
      </c>
      <c r="C175" s="7">
        <v>3</v>
      </c>
      <c r="D175" s="7">
        <v>48</v>
      </c>
      <c r="E175" s="7">
        <v>144</v>
      </c>
    </row>
    <row r="176" customHeight="1" spans="1:5">
      <c r="A176" s="5" t="s">
        <v>250</v>
      </c>
      <c r="B176" s="6" t="s">
        <v>254</v>
      </c>
      <c r="C176" s="7">
        <v>3</v>
      </c>
      <c r="D176" s="7" t="s">
        <v>255</v>
      </c>
      <c r="E176" s="7" t="s">
        <v>247</v>
      </c>
    </row>
    <row r="177" customHeight="1" spans="1:5">
      <c r="A177" s="5" t="s">
        <v>250</v>
      </c>
      <c r="B177" s="6" t="s">
        <v>256</v>
      </c>
      <c r="C177" s="7">
        <v>3</v>
      </c>
      <c r="D177" s="7">
        <v>68</v>
      </c>
      <c r="E177" s="7">
        <v>204</v>
      </c>
    </row>
    <row r="178" customHeight="1" spans="1:5">
      <c r="A178" s="5" t="s">
        <v>250</v>
      </c>
      <c r="B178" s="6" t="s">
        <v>257</v>
      </c>
      <c r="C178" s="7">
        <v>3</v>
      </c>
      <c r="D178" s="7">
        <v>125</v>
      </c>
      <c r="E178" s="7">
        <v>375</v>
      </c>
    </row>
    <row r="179" customHeight="1" spans="1:5">
      <c r="A179" s="5" t="s">
        <v>250</v>
      </c>
      <c r="B179" s="6" t="s">
        <v>258</v>
      </c>
      <c r="C179" s="7">
        <v>3</v>
      </c>
      <c r="D179" s="7" t="s">
        <v>259</v>
      </c>
      <c r="E179" s="7" t="s">
        <v>260</v>
      </c>
    </row>
    <row r="180" customHeight="1" spans="1:5">
      <c r="A180" s="5" t="s">
        <v>250</v>
      </c>
      <c r="B180" s="6" t="s">
        <v>261</v>
      </c>
      <c r="C180" s="7">
        <v>3</v>
      </c>
      <c r="D180" s="7" t="s">
        <v>262</v>
      </c>
      <c r="E180" s="7" t="s">
        <v>263</v>
      </c>
    </row>
    <row r="181" customHeight="1" spans="1:5">
      <c r="A181" s="5" t="s">
        <v>250</v>
      </c>
      <c r="B181" s="6" t="s">
        <v>264</v>
      </c>
      <c r="C181" s="7">
        <v>3</v>
      </c>
      <c r="D181" s="7">
        <v>235</v>
      </c>
      <c r="E181" s="7">
        <v>705</v>
      </c>
    </row>
    <row r="182" customHeight="1" spans="1:5">
      <c r="A182" s="5" t="s">
        <v>250</v>
      </c>
      <c r="B182" s="6" t="s">
        <v>265</v>
      </c>
      <c r="C182" s="7">
        <v>3</v>
      </c>
      <c r="D182" s="7" t="s">
        <v>247</v>
      </c>
      <c r="E182" s="7" t="s">
        <v>266</v>
      </c>
    </row>
    <row r="183" customHeight="1" spans="1:5">
      <c r="A183" s="5" t="s">
        <v>250</v>
      </c>
      <c r="B183" s="6" t="s">
        <v>267</v>
      </c>
      <c r="C183" s="7">
        <v>3</v>
      </c>
      <c r="D183" s="7" t="s">
        <v>268</v>
      </c>
      <c r="E183" s="7" t="s">
        <v>269</v>
      </c>
    </row>
    <row r="184" customHeight="1" spans="1:5">
      <c r="A184" s="5" t="s">
        <v>250</v>
      </c>
      <c r="B184" s="6" t="s">
        <v>270</v>
      </c>
      <c r="C184" s="7">
        <v>3</v>
      </c>
      <c r="D184" s="7" t="s">
        <v>271</v>
      </c>
      <c r="E184" s="7" t="s">
        <v>272</v>
      </c>
    </row>
    <row r="185" customHeight="1" spans="1:5">
      <c r="A185" s="5" t="s">
        <v>250</v>
      </c>
      <c r="B185" s="6" t="s">
        <v>273</v>
      </c>
      <c r="C185" s="7">
        <v>3</v>
      </c>
      <c r="D185" s="7" t="s">
        <v>274</v>
      </c>
      <c r="E185" s="11">
        <v>45778</v>
      </c>
    </row>
    <row r="186" customHeight="1" spans="1:5">
      <c r="A186" s="5" t="s">
        <v>250</v>
      </c>
      <c r="B186" s="6" t="s">
        <v>275</v>
      </c>
      <c r="C186" s="7">
        <v>3</v>
      </c>
      <c r="D186" s="7">
        <v>285</v>
      </c>
      <c r="E186" s="7">
        <v>855</v>
      </c>
    </row>
    <row r="187" customHeight="1" spans="1:5">
      <c r="A187" s="5" t="s">
        <v>250</v>
      </c>
      <c r="B187" s="6" t="s">
        <v>276</v>
      </c>
      <c r="C187" s="7">
        <v>3</v>
      </c>
      <c r="D187" s="7" t="s">
        <v>277</v>
      </c>
      <c r="E187" s="7" t="s">
        <v>278</v>
      </c>
    </row>
    <row r="188" customHeight="1" spans="1:5">
      <c r="A188" s="5" t="s">
        <v>250</v>
      </c>
      <c r="B188" s="6" t="s">
        <v>279</v>
      </c>
      <c r="C188" s="7">
        <v>3</v>
      </c>
      <c r="D188" s="7" t="s">
        <v>280</v>
      </c>
      <c r="E188" s="7" t="s">
        <v>281</v>
      </c>
    </row>
    <row r="189" customHeight="1" spans="1:5">
      <c r="A189" s="5" t="s">
        <v>250</v>
      </c>
      <c r="B189" s="6" t="s">
        <v>282</v>
      </c>
      <c r="C189" s="7">
        <v>3</v>
      </c>
      <c r="D189" s="7" t="s">
        <v>283</v>
      </c>
      <c r="E189" s="7" t="s">
        <v>284</v>
      </c>
    </row>
    <row r="190" customHeight="1" spans="1:5">
      <c r="A190" s="5" t="s">
        <v>285</v>
      </c>
      <c r="B190" s="6" t="s">
        <v>286</v>
      </c>
      <c r="C190" s="7">
        <v>3</v>
      </c>
      <c r="D190" s="8">
        <v>45689</v>
      </c>
      <c r="E190" s="8">
        <v>45811</v>
      </c>
    </row>
    <row r="191" customHeight="1" spans="1:5">
      <c r="A191" s="5" t="s">
        <v>285</v>
      </c>
      <c r="B191" s="6" t="s">
        <v>287</v>
      </c>
      <c r="C191" s="7">
        <v>3</v>
      </c>
      <c r="D191" s="7" t="s">
        <v>288</v>
      </c>
      <c r="E191" s="7" t="s">
        <v>289</v>
      </c>
    </row>
    <row r="192" customHeight="1" spans="1:5">
      <c r="A192" s="5" t="s">
        <v>285</v>
      </c>
      <c r="B192" s="6" t="s">
        <v>290</v>
      </c>
      <c r="C192" s="8">
        <v>45811</v>
      </c>
      <c r="D192" s="7">
        <v>9</v>
      </c>
      <c r="E192" s="7" t="s">
        <v>291</v>
      </c>
    </row>
    <row r="193" customHeight="1" spans="1:5">
      <c r="A193" s="5" t="s">
        <v>285</v>
      </c>
      <c r="B193" s="6" t="s">
        <v>292</v>
      </c>
      <c r="C193" s="8">
        <v>45811</v>
      </c>
      <c r="D193" s="7">
        <v>20</v>
      </c>
      <c r="E193" s="7">
        <v>72</v>
      </c>
    </row>
    <row r="194" customHeight="1" spans="1:5">
      <c r="A194" s="5" t="s">
        <v>293</v>
      </c>
      <c r="B194" s="6" t="s">
        <v>294</v>
      </c>
      <c r="C194" s="8">
        <v>45841</v>
      </c>
      <c r="D194" s="8">
        <v>45658</v>
      </c>
      <c r="E194" s="11">
        <v>45842</v>
      </c>
    </row>
    <row r="195" customHeight="1" spans="1:5">
      <c r="A195" s="5" t="s">
        <v>293</v>
      </c>
      <c r="B195" s="6" t="s">
        <v>295</v>
      </c>
      <c r="C195" s="8">
        <v>45841</v>
      </c>
      <c r="D195" s="8">
        <v>45690</v>
      </c>
      <c r="E195" s="7" t="s">
        <v>296</v>
      </c>
    </row>
    <row r="196" customHeight="1" spans="1:5">
      <c r="A196" s="5" t="s">
        <v>293</v>
      </c>
      <c r="B196" s="6" t="s">
        <v>297</v>
      </c>
      <c r="C196" s="8">
        <v>45841</v>
      </c>
      <c r="D196" s="8">
        <v>45810</v>
      </c>
      <c r="E196" s="7" t="s">
        <v>298</v>
      </c>
    </row>
    <row r="197" customHeight="1" spans="1:5">
      <c r="A197" s="5" t="s">
        <v>293</v>
      </c>
      <c r="B197" s="6" t="s">
        <v>299</v>
      </c>
      <c r="C197" s="8">
        <v>45841</v>
      </c>
      <c r="D197" s="7">
        <v>3</v>
      </c>
      <c r="E197" s="8">
        <v>45668</v>
      </c>
    </row>
    <row r="198" customHeight="1" spans="1:5">
      <c r="A198" s="5" t="s">
        <v>293</v>
      </c>
      <c r="B198" s="6" t="s">
        <v>300</v>
      </c>
      <c r="C198" s="8">
        <v>45841</v>
      </c>
      <c r="D198" s="8">
        <v>45691</v>
      </c>
      <c r="E198" s="7" t="s">
        <v>301</v>
      </c>
    </row>
    <row r="199" customHeight="1" spans="1:5">
      <c r="A199" s="5" t="s">
        <v>293</v>
      </c>
      <c r="B199" s="6" t="s">
        <v>302</v>
      </c>
      <c r="C199" s="8">
        <v>45841</v>
      </c>
      <c r="D199" s="8">
        <v>45690</v>
      </c>
      <c r="E199" s="7" t="s">
        <v>296</v>
      </c>
    </row>
    <row r="200" customHeight="1" spans="1:5">
      <c r="A200" s="5" t="s">
        <v>293</v>
      </c>
      <c r="B200" s="6" t="s">
        <v>303</v>
      </c>
      <c r="C200" s="8">
        <v>45841</v>
      </c>
      <c r="D200" s="7">
        <v>4</v>
      </c>
      <c r="E200" s="8">
        <v>45883</v>
      </c>
    </row>
    <row r="201" customHeight="1" spans="1:5">
      <c r="A201" s="5" t="s">
        <v>293</v>
      </c>
      <c r="B201" s="6" t="s">
        <v>304</v>
      </c>
      <c r="C201" s="8">
        <v>45841</v>
      </c>
      <c r="D201" s="7">
        <v>5</v>
      </c>
      <c r="E201" s="8">
        <v>45795</v>
      </c>
    </row>
    <row r="202" customHeight="1" spans="1:5">
      <c r="A202" s="5" t="s">
        <v>293</v>
      </c>
      <c r="B202" s="6" t="s">
        <v>305</v>
      </c>
      <c r="C202" s="8">
        <v>45841</v>
      </c>
      <c r="D202" s="7">
        <v>5</v>
      </c>
      <c r="E202" s="8">
        <v>45795</v>
      </c>
    </row>
    <row r="203" customHeight="1" spans="1:5">
      <c r="A203" s="5" t="s">
        <v>293</v>
      </c>
      <c r="B203" s="6" t="s">
        <v>306</v>
      </c>
      <c r="C203" s="8">
        <v>45841</v>
      </c>
      <c r="D203" s="8">
        <v>45781</v>
      </c>
      <c r="E203" s="7" t="s">
        <v>307</v>
      </c>
    </row>
    <row r="204" customHeight="1" spans="1:5">
      <c r="A204" s="5" t="s">
        <v>293</v>
      </c>
      <c r="B204" s="6" t="s">
        <v>308</v>
      </c>
      <c r="C204" s="8">
        <v>45841</v>
      </c>
      <c r="D204" s="7">
        <v>5</v>
      </c>
      <c r="E204" s="8">
        <v>45795</v>
      </c>
    </row>
    <row r="205" customHeight="1" spans="1:5">
      <c r="A205" s="12" t="s">
        <v>309</v>
      </c>
      <c r="B205" s="6" t="s">
        <v>310</v>
      </c>
      <c r="C205" s="7">
        <v>36</v>
      </c>
      <c r="D205" s="7">
        <v>13</v>
      </c>
      <c r="E205" s="7">
        <v>468</v>
      </c>
    </row>
    <row r="206" customHeight="1" spans="2:5">
      <c r="B206" s="6" t="s">
        <v>311</v>
      </c>
      <c r="C206" s="7">
        <v>36</v>
      </c>
      <c r="D206" s="7">
        <v>20</v>
      </c>
      <c r="E206" s="7">
        <v>720</v>
      </c>
    </row>
    <row r="207" customHeight="1" spans="2:5">
      <c r="B207" s="6" t="s">
        <v>312</v>
      </c>
      <c r="C207" s="7">
        <v>48</v>
      </c>
      <c r="D207" s="7">
        <v>13</v>
      </c>
      <c r="E207" s="7">
        <v>624</v>
      </c>
    </row>
    <row r="208" customHeight="1" spans="2:5">
      <c r="B208" s="6" t="s">
        <v>313</v>
      </c>
      <c r="C208" s="7">
        <v>48</v>
      </c>
      <c r="D208" s="7">
        <v>20</v>
      </c>
      <c r="E208" s="7">
        <v>960</v>
      </c>
    </row>
    <row r="209" customHeight="1" spans="1:5">
      <c r="A209" s="12" t="s">
        <v>314</v>
      </c>
      <c r="B209" s="13" t="s">
        <v>10</v>
      </c>
      <c r="C209" s="14">
        <v>45841</v>
      </c>
      <c r="D209" s="15" t="s">
        <v>315</v>
      </c>
      <c r="E209" s="8">
        <v>45962</v>
      </c>
    </row>
    <row r="210" customHeight="1" spans="1:5">
      <c r="A210" s="12" t="s">
        <v>314</v>
      </c>
      <c r="B210" s="13" t="s">
        <v>8</v>
      </c>
      <c r="C210" s="14">
        <v>45841</v>
      </c>
      <c r="D210" s="15" t="s">
        <v>316</v>
      </c>
      <c r="E210" s="7" t="s">
        <v>317</v>
      </c>
    </row>
    <row r="211" customHeight="1" spans="1:5">
      <c r="A211" s="12" t="s">
        <v>314</v>
      </c>
      <c r="B211" s="13" t="s">
        <v>12</v>
      </c>
      <c r="C211" s="14">
        <v>45841</v>
      </c>
      <c r="D211" s="15" t="s">
        <v>316</v>
      </c>
      <c r="E211" s="7" t="s">
        <v>317</v>
      </c>
    </row>
    <row r="212" customHeight="1" spans="1:5">
      <c r="A212" s="12" t="s">
        <v>314</v>
      </c>
      <c r="B212" s="13" t="s">
        <v>15</v>
      </c>
      <c r="C212" s="14">
        <v>45668</v>
      </c>
      <c r="D212" s="15" t="s">
        <v>318</v>
      </c>
      <c r="E212" s="16">
        <v>9435</v>
      </c>
    </row>
    <row r="213" customHeight="1" spans="1:5">
      <c r="A213" s="12" t="s">
        <v>314</v>
      </c>
      <c r="B213" s="13" t="s">
        <v>18</v>
      </c>
      <c r="C213" s="14">
        <v>45668</v>
      </c>
      <c r="D213" s="14">
        <v>45717</v>
      </c>
      <c r="E213" s="7" t="s">
        <v>319</v>
      </c>
    </row>
    <row r="214" customHeight="1" spans="1:5">
      <c r="A214" s="12" t="s">
        <v>314</v>
      </c>
      <c r="B214" s="13" t="s">
        <v>19</v>
      </c>
      <c r="C214" s="14">
        <v>45668</v>
      </c>
      <c r="D214" s="14">
        <v>45748</v>
      </c>
      <c r="E214" s="7" t="s">
        <v>320</v>
      </c>
    </row>
    <row r="215" customHeight="1" spans="1:5">
      <c r="A215" s="12" t="s">
        <v>314</v>
      </c>
      <c r="B215" s="13" t="s">
        <v>16</v>
      </c>
      <c r="C215" s="14">
        <v>45668</v>
      </c>
      <c r="D215" s="14">
        <v>45778</v>
      </c>
      <c r="E215" s="7" t="s">
        <v>307</v>
      </c>
    </row>
    <row r="216" customHeight="1" spans="1:5">
      <c r="A216" s="12" t="s">
        <v>314</v>
      </c>
      <c r="B216" s="13" t="s">
        <v>23</v>
      </c>
      <c r="C216" s="14">
        <v>45883</v>
      </c>
      <c r="D216" s="14">
        <v>45717</v>
      </c>
      <c r="E216" s="7" t="s">
        <v>321</v>
      </c>
    </row>
    <row r="217" customHeight="1" spans="1:5">
      <c r="A217" s="12" t="s">
        <v>314</v>
      </c>
      <c r="B217" s="13" t="s">
        <v>322</v>
      </c>
      <c r="C217" s="14">
        <v>45883</v>
      </c>
      <c r="D217" s="14">
        <v>45717</v>
      </c>
      <c r="E217" s="7" t="s">
        <v>321</v>
      </c>
    </row>
    <row r="218" customHeight="1" spans="1:5">
      <c r="A218" s="12" t="s">
        <v>314</v>
      </c>
      <c r="B218" s="13" t="s">
        <v>323</v>
      </c>
      <c r="C218" s="14">
        <v>45883</v>
      </c>
      <c r="D218" s="14">
        <v>45717</v>
      </c>
      <c r="E218" s="7" t="s">
        <v>321</v>
      </c>
    </row>
    <row r="219" customHeight="1" spans="1:5">
      <c r="A219" s="12" t="s">
        <v>314</v>
      </c>
      <c r="B219" s="17" t="s">
        <v>324</v>
      </c>
      <c r="C219" s="14">
        <v>45883</v>
      </c>
      <c r="D219" s="14">
        <v>45717</v>
      </c>
      <c r="E219" s="7" t="s">
        <v>321</v>
      </c>
    </row>
    <row r="220" customHeight="1" spans="1:5">
      <c r="A220" s="12" t="s">
        <v>314</v>
      </c>
      <c r="B220" s="13" t="s">
        <v>325</v>
      </c>
      <c r="C220" s="14">
        <v>45883</v>
      </c>
      <c r="D220" s="15" t="s">
        <v>288</v>
      </c>
      <c r="E220" s="7" t="s">
        <v>326</v>
      </c>
    </row>
    <row r="221" customHeight="1" spans="1:5">
      <c r="A221" s="12" t="s">
        <v>314</v>
      </c>
      <c r="B221" s="13" t="s">
        <v>327</v>
      </c>
      <c r="C221" s="14">
        <v>45883</v>
      </c>
      <c r="D221" s="15" t="s">
        <v>288</v>
      </c>
      <c r="E221" s="7" t="s">
        <v>326</v>
      </c>
    </row>
    <row r="222" customHeight="1" spans="1:5">
      <c r="A222" s="12" t="s">
        <v>314</v>
      </c>
      <c r="B222" s="13" t="s">
        <v>20</v>
      </c>
      <c r="C222" s="14">
        <v>45668</v>
      </c>
      <c r="D222" s="14">
        <v>45659</v>
      </c>
      <c r="E222" s="7" t="s">
        <v>328</v>
      </c>
    </row>
    <row r="223" customHeight="1" spans="1:5">
      <c r="A223" s="12" t="s">
        <v>314</v>
      </c>
      <c r="B223" s="17" t="s">
        <v>329</v>
      </c>
      <c r="C223" s="14">
        <v>45795</v>
      </c>
      <c r="D223" s="14">
        <v>45717</v>
      </c>
      <c r="E223" s="11">
        <v>45801</v>
      </c>
    </row>
    <row r="224" customHeight="1" spans="1:5">
      <c r="A224" s="12" t="s">
        <v>314</v>
      </c>
      <c r="B224" s="13" t="s">
        <v>17</v>
      </c>
      <c r="C224" s="14">
        <v>45758</v>
      </c>
      <c r="D224" s="14">
        <v>45690</v>
      </c>
      <c r="E224" s="11">
        <v>45894</v>
      </c>
    </row>
    <row r="225" customHeight="1" spans="1:5">
      <c r="A225" s="12" t="s">
        <v>314</v>
      </c>
      <c r="B225" s="13" t="s">
        <v>13</v>
      </c>
      <c r="C225" s="14">
        <v>45754</v>
      </c>
      <c r="D225" s="15">
        <v>5</v>
      </c>
      <c r="E225" s="7">
        <v>37</v>
      </c>
    </row>
    <row r="226" customHeight="1" spans="1:5">
      <c r="A226" s="12" t="s">
        <v>314</v>
      </c>
      <c r="B226" s="13" t="s">
        <v>21</v>
      </c>
      <c r="C226" s="14">
        <v>45883</v>
      </c>
      <c r="D226" s="15">
        <v>3</v>
      </c>
      <c r="E226" s="7" t="s">
        <v>330</v>
      </c>
    </row>
    <row r="227" customHeight="1" spans="1:5">
      <c r="A227" s="12" t="s">
        <v>314</v>
      </c>
      <c r="B227" s="17" t="s">
        <v>331</v>
      </c>
      <c r="C227" s="14">
        <v>45710</v>
      </c>
      <c r="D227" s="14">
        <v>45810</v>
      </c>
      <c r="E227" s="7" t="s">
        <v>332</v>
      </c>
    </row>
    <row r="228" customHeight="1" spans="1:5">
      <c r="A228" s="12" t="s">
        <v>314</v>
      </c>
      <c r="B228" s="17" t="s">
        <v>333</v>
      </c>
      <c r="C228" s="14">
        <v>45795</v>
      </c>
      <c r="D228" s="15">
        <v>4</v>
      </c>
      <c r="E228" s="7">
        <v>74</v>
      </c>
    </row>
    <row r="229" customHeight="1" spans="1:5">
      <c r="A229" s="12" t="s">
        <v>314</v>
      </c>
      <c r="B229" s="17" t="s">
        <v>334</v>
      </c>
      <c r="C229" s="14">
        <v>45795</v>
      </c>
      <c r="D229" s="15">
        <v>5</v>
      </c>
      <c r="E229" s="7" t="s">
        <v>335</v>
      </c>
    </row>
    <row r="230" customHeight="1" spans="1:5">
      <c r="A230" s="12" t="s">
        <v>314</v>
      </c>
      <c r="B230" s="17" t="s">
        <v>336</v>
      </c>
      <c r="C230" s="14">
        <v>45710</v>
      </c>
      <c r="D230" s="15">
        <v>12</v>
      </c>
      <c r="E230" s="7" t="s">
        <v>337</v>
      </c>
    </row>
    <row r="231" customHeight="1" spans="1:5">
      <c r="A231" s="12" t="s">
        <v>314</v>
      </c>
      <c r="B231" s="17" t="s">
        <v>338</v>
      </c>
      <c r="C231" s="14">
        <v>45710</v>
      </c>
      <c r="D231" s="15">
        <v>16</v>
      </c>
      <c r="E231" s="7" t="s">
        <v>339</v>
      </c>
    </row>
    <row r="232" customHeight="1" spans="1:5">
      <c r="A232" s="12" t="s">
        <v>385</v>
      </c>
      <c r="B232" s="17" t="s">
        <v>342</v>
      </c>
      <c r="C232" s="14">
        <v>45689</v>
      </c>
      <c r="D232" s="14">
        <v>45749</v>
      </c>
      <c r="E232" s="7" t="s">
        <v>343</v>
      </c>
    </row>
    <row r="233" customHeight="1" spans="1:5">
      <c r="A233" s="12" t="s">
        <v>344</v>
      </c>
      <c r="B233" s="18" t="s">
        <v>345</v>
      </c>
      <c r="C233" s="14">
        <v>45749</v>
      </c>
      <c r="D233" s="14">
        <v>45748</v>
      </c>
      <c r="E233" s="7" t="s">
        <v>346</v>
      </c>
    </row>
    <row r="234" customHeight="1" spans="1:5">
      <c r="A234" s="13" t="s">
        <v>348</v>
      </c>
      <c r="B234" s="17" t="s">
        <v>349</v>
      </c>
      <c r="C234" s="15" t="s">
        <v>288</v>
      </c>
      <c r="D234" s="19">
        <v>18</v>
      </c>
      <c r="E234" s="16">
        <v>279</v>
      </c>
    </row>
    <row r="235" customHeight="1" spans="1:5">
      <c r="A235" s="13" t="s">
        <v>348</v>
      </c>
      <c r="B235" s="17" t="s">
        <v>350</v>
      </c>
      <c r="C235" s="15" t="s">
        <v>288</v>
      </c>
      <c r="D235" s="20">
        <v>23</v>
      </c>
      <c r="E235" s="16">
        <v>3565</v>
      </c>
    </row>
    <row r="236" customHeight="1" spans="1:5">
      <c r="A236" s="13" t="s">
        <v>348</v>
      </c>
      <c r="B236" s="17" t="s">
        <v>351</v>
      </c>
      <c r="C236" s="15" t="s">
        <v>288</v>
      </c>
      <c r="D236" s="19">
        <v>24</v>
      </c>
      <c r="E236" s="16">
        <v>372</v>
      </c>
    </row>
    <row r="237" customHeight="1" spans="1:5">
      <c r="A237" s="13" t="s">
        <v>348</v>
      </c>
      <c r="B237" s="17" t="s">
        <v>352</v>
      </c>
      <c r="C237" s="15" t="s">
        <v>288</v>
      </c>
      <c r="D237" s="19">
        <v>28</v>
      </c>
      <c r="E237" s="16">
        <v>434</v>
      </c>
    </row>
    <row r="238" customHeight="1" spans="1:5">
      <c r="A238" s="13" t="s">
        <v>348</v>
      </c>
      <c r="B238" s="17" t="s">
        <v>353</v>
      </c>
      <c r="C238" s="15" t="s">
        <v>288</v>
      </c>
      <c r="D238" s="19">
        <v>46</v>
      </c>
      <c r="E238" s="16">
        <v>713</v>
      </c>
    </row>
    <row r="239" customHeight="1" spans="1:5">
      <c r="A239" s="13" t="s">
        <v>348</v>
      </c>
      <c r="B239" s="17" t="s">
        <v>354</v>
      </c>
      <c r="C239" s="15" t="s">
        <v>288</v>
      </c>
      <c r="D239" s="21" t="s">
        <v>355</v>
      </c>
      <c r="E239" s="16">
        <v>93</v>
      </c>
    </row>
    <row r="240" customHeight="1" spans="1:5">
      <c r="A240" s="13" t="s">
        <v>348</v>
      </c>
      <c r="B240" s="17" t="s">
        <v>356</v>
      </c>
      <c r="C240" s="15" t="s">
        <v>288</v>
      </c>
      <c r="D240" s="22" t="s">
        <v>259</v>
      </c>
      <c r="E240" s="16">
        <v>124</v>
      </c>
    </row>
    <row r="241" customHeight="1" spans="1:5">
      <c r="A241" s="13" t="s">
        <v>348</v>
      </c>
      <c r="B241" s="17" t="s">
        <v>357</v>
      </c>
      <c r="C241" s="15" t="s">
        <v>288</v>
      </c>
      <c r="D241" s="19">
        <v>85</v>
      </c>
      <c r="E241" s="16">
        <v>13175</v>
      </c>
    </row>
    <row r="242" customHeight="1" spans="1:5">
      <c r="A242" s="13" t="s">
        <v>386</v>
      </c>
      <c r="B242" s="6" t="s">
        <v>360</v>
      </c>
      <c r="C242" s="8">
        <v>45691</v>
      </c>
      <c r="D242" s="7">
        <v>2</v>
      </c>
      <c r="E242" s="8">
        <v>45753</v>
      </c>
    </row>
    <row r="243" customHeight="1" spans="1:5">
      <c r="A243" s="13" t="s">
        <v>386</v>
      </c>
      <c r="B243" s="6" t="s">
        <v>361</v>
      </c>
      <c r="C243" s="8">
        <v>45691</v>
      </c>
      <c r="D243" s="7">
        <v>3</v>
      </c>
      <c r="E243" s="8">
        <v>45817</v>
      </c>
    </row>
    <row r="244" customHeight="1" spans="1:5">
      <c r="A244" s="13" t="s">
        <v>386</v>
      </c>
      <c r="B244" s="6" t="s">
        <v>362</v>
      </c>
      <c r="C244" s="8">
        <v>45691</v>
      </c>
      <c r="D244" s="8">
        <v>45750</v>
      </c>
      <c r="E244" s="7" t="s">
        <v>363</v>
      </c>
    </row>
    <row r="245" customHeight="1" spans="1:5">
      <c r="A245" s="13" t="s">
        <v>386</v>
      </c>
      <c r="B245" s="6" t="s">
        <v>364</v>
      </c>
      <c r="C245" s="8">
        <v>45691</v>
      </c>
      <c r="D245" s="8">
        <v>45781</v>
      </c>
      <c r="E245" s="8">
        <v>45761</v>
      </c>
    </row>
    <row r="246" customHeight="1" spans="1:5">
      <c r="A246" s="13" t="s">
        <v>365</v>
      </c>
      <c r="B246" s="6" t="s">
        <v>366</v>
      </c>
      <c r="C246" s="8">
        <v>45691</v>
      </c>
      <c r="D246" s="8">
        <v>45718</v>
      </c>
      <c r="E246" s="7" t="s">
        <v>367</v>
      </c>
    </row>
    <row r="247" customHeight="1" spans="1:5">
      <c r="A247" s="13" t="s">
        <v>387</v>
      </c>
      <c r="B247" s="6" t="s">
        <v>369</v>
      </c>
      <c r="C247" s="8">
        <v>45881</v>
      </c>
      <c r="D247" s="7">
        <v>3</v>
      </c>
      <c r="E247" s="7" t="s">
        <v>370</v>
      </c>
    </row>
    <row r="248" customHeight="1" spans="1:5">
      <c r="A248" s="13" t="s">
        <v>387</v>
      </c>
      <c r="B248" s="6" t="s">
        <v>371</v>
      </c>
      <c r="C248" s="8">
        <v>45881</v>
      </c>
      <c r="D248" s="7">
        <v>4</v>
      </c>
      <c r="E248" s="7" t="s">
        <v>372</v>
      </c>
    </row>
    <row r="249" customHeight="1" spans="1:5">
      <c r="A249" s="13" t="s">
        <v>387</v>
      </c>
      <c r="B249" s="6" t="s">
        <v>373</v>
      </c>
      <c r="C249" s="8">
        <v>45881</v>
      </c>
      <c r="D249" s="7">
        <v>6</v>
      </c>
      <c r="E249" s="7" t="s">
        <v>374</v>
      </c>
    </row>
    <row r="250" customHeight="1" spans="1:5">
      <c r="A250" s="13" t="s">
        <v>387</v>
      </c>
      <c r="B250" s="6" t="s">
        <v>375</v>
      </c>
      <c r="C250" s="8">
        <v>45881</v>
      </c>
      <c r="D250" s="7">
        <v>8</v>
      </c>
      <c r="E250" s="7" t="s">
        <v>376</v>
      </c>
    </row>
    <row r="251" customHeight="1" spans="1:5">
      <c r="A251" s="13" t="s">
        <v>387</v>
      </c>
      <c r="B251" s="6" t="s">
        <v>377</v>
      </c>
      <c r="C251" s="8">
        <v>45817</v>
      </c>
      <c r="D251" s="7">
        <v>4</v>
      </c>
      <c r="E251" s="7" t="s">
        <v>370</v>
      </c>
    </row>
    <row r="252" customHeight="1" spans="1:5">
      <c r="A252" s="13" t="s">
        <v>387</v>
      </c>
      <c r="B252" s="6" t="s">
        <v>378</v>
      </c>
      <c r="C252" s="8">
        <v>45817</v>
      </c>
      <c r="D252" s="7">
        <v>8</v>
      </c>
      <c r="E252" s="7" t="s">
        <v>374</v>
      </c>
    </row>
  </sheetData>
  <mergeCells count="2">
    <mergeCell ref="A158:A169"/>
    <mergeCell ref="A205:A20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6"/>
  <sheetViews>
    <sheetView tabSelected="1" topLeftCell="A216" workbookViewId="0">
      <selection activeCell="F246" sqref="F246"/>
    </sheetView>
  </sheetViews>
  <sheetFormatPr defaultColWidth="10.2857142857143" defaultRowHeight="14.25" outlineLevelCol="5"/>
  <cols>
    <col min="1" max="1" width="15.7142857142857" style="1" customWidth="1"/>
    <col min="2" max="2" width="152.428571428571" style="1" customWidth="1"/>
    <col min="3" max="3" width="34.1428571428571" style="1" customWidth="1"/>
    <col min="4" max="4" width="10.2857142857143" style="1"/>
    <col min="5" max="5" width="15.1428571428571" style="1" customWidth="1"/>
    <col min="6" max="6" width="25.7142857142857" style="1" customWidth="1"/>
    <col min="7" max="16381" width="10.2857142857143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</row>
    <row r="2" s="1" customFormat="1" spans="1:6">
      <c r="A2" s="1" t="s">
        <v>26</v>
      </c>
      <c r="B2" s="1" t="s">
        <v>388</v>
      </c>
      <c r="C2" s="1" t="s">
        <v>28</v>
      </c>
      <c r="D2" s="1">
        <v>4</v>
      </c>
      <c r="E2" s="1">
        <v>4</v>
      </c>
      <c r="F2" s="1">
        <v>16</v>
      </c>
    </row>
    <row r="3" s="1" customFormat="1" spans="1:6">
      <c r="A3" s="1" t="s">
        <v>26</v>
      </c>
      <c r="B3" s="1" t="s">
        <v>389</v>
      </c>
      <c r="C3" s="1" t="s">
        <v>30</v>
      </c>
      <c r="D3" s="1">
        <v>4</v>
      </c>
      <c r="E3" s="1">
        <v>4.4</v>
      </c>
      <c r="F3" s="1">
        <v>17.6</v>
      </c>
    </row>
    <row r="4" s="1" customFormat="1" spans="1:6">
      <c r="A4" s="1" t="s">
        <v>26</v>
      </c>
      <c r="B4" s="1" t="s">
        <v>389</v>
      </c>
      <c r="C4" s="1" t="s">
        <v>31</v>
      </c>
      <c r="D4" s="1">
        <v>4</v>
      </c>
      <c r="E4" s="1">
        <v>4.5</v>
      </c>
      <c r="F4" s="1">
        <v>18</v>
      </c>
    </row>
    <row r="5" s="1" customFormat="1" spans="1:6">
      <c r="A5" s="1" t="s">
        <v>26</v>
      </c>
      <c r="B5" s="1" t="s">
        <v>390</v>
      </c>
      <c r="C5" s="1" t="s">
        <v>33</v>
      </c>
      <c r="D5" s="1">
        <v>6</v>
      </c>
      <c r="E5" s="1">
        <v>1.3</v>
      </c>
      <c r="F5" s="1">
        <v>7.8</v>
      </c>
    </row>
    <row r="6" s="1" customFormat="1" spans="1:6">
      <c r="A6" s="1" t="s">
        <v>26</v>
      </c>
      <c r="B6" s="1" t="s">
        <v>390</v>
      </c>
      <c r="C6" s="1" t="s">
        <v>34</v>
      </c>
      <c r="D6" s="1">
        <v>12</v>
      </c>
      <c r="E6" s="1">
        <v>9</v>
      </c>
      <c r="F6" s="1">
        <v>108</v>
      </c>
    </row>
    <row r="7" s="1" customFormat="1" spans="1:6">
      <c r="A7" s="1" t="s">
        <v>26</v>
      </c>
      <c r="B7" s="1" t="s">
        <v>391</v>
      </c>
      <c r="C7" s="1" t="s">
        <v>36</v>
      </c>
      <c r="D7" s="1">
        <v>6</v>
      </c>
      <c r="E7" s="1">
        <v>1.3</v>
      </c>
      <c r="F7" s="1">
        <v>7.8</v>
      </c>
    </row>
    <row r="8" s="1" customFormat="1" spans="1:6">
      <c r="A8" s="1" t="s">
        <v>26</v>
      </c>
      <c r="B8" s="1" t="s">
        <v>391</v>
      </c>
      <c r="C8" s="1" t="s">
        <v>37</v>
      </c>
      <c r="D8" s="1">
        <v>6</v>
      </c>
      <c r="E8" s="1">
        <v>1.5</v>
      </c>
      <c r="F8" s="1">
        <v>9</v>
      </c>
    </row>
    <row r="9" s="1" customFormat="1" spans="1:6">
      <c r="A9" s="1" t="s">
        <v>26</v>
      </c>
      <c r="B9" s="1" t="s">
        <v>392</v>
      </c>
      <c r="C9" s="1" t="s">
        <v>39</v>
      </c>
      <c r="D9" s="1">
        <v>6</v>
      </c>
      <c r="E9" s="1">
        <v>1</v>
      </c>
      <c r="F9" s="1">
        <v>6</v>
      </c>
    </row>
    <row r="10" s="1" customFormat="1" spans="1:6">
      <c r="A10" s="1" t="s">
        <v>26</v>
      </c>
      <c r="B10" s="1" t="s">
        <v>392</v>
      </c>
      <c r="C10" s="1" t="s">
        <v>40</v>
      </c>
      <c r="D10" s="1">
        <v>6</v>
      </c>
      <c r="E10" s="1">
        <v>1.4</v>
      </c>
      <c r="F10" s="1">
        <v>8.4</v>
      </c>
    </row>
    <row r="11" s="1" customFormat="1" spans="1:6">
      <c r="A11" s="1" t="s">
        <v>26</v>
      </c>
      <c r="B11" s="1" t="s">
        <v>393</v>
      </c>
      <c r="C11" s="1" t="s">
        <v>42</v>
      </c>
      <c r="D11" s="1">
        <v>6</v>
      </c>
      <c r="E11" s="1">
        <v>2.8</v>
      </c>
      <c r="F11" s="1">
        <v>16.8</v>
      </c>
    </row>
    <row r="12" s="1" customFormat="1" spans="1:6">
      <c r="A12" s="1" t="s">
        <v>26</v>
      </c>
      <c r="B12" s="1" t="s">
        <v>394</v>
      </c>
      <c r="C12" s="1" t="s">
        <v>44</v>
      </c>
      <c r="D12" s="1">
        <v>6</v>
      </c>
      <c r="E12" s="1">
        <v>2</v>
      </c>
      <c r="F12" s="1">
        <v>12</v>
      </c>
    </row>
    <row r="13" s="1" customFormat="1" spans="1:6">
      <c r="A13" s="1" t="s">
        <v>26</v>
      </c>
      <c r="B13" s="1" t="s">
        <v>394</v>
      </c>
      <c r="C13" s="1" t="s">
        <v>45</v>
      </c>
      <c r="D13" s="1">
        <v>6</v>
      </c>
      <c r="E13" s="1">
        <v>2.9</v>
      </c>
      <c r="F13" s="1">
        <v>17.4</v>
      </c>
    </row>
    <row r="14" s="1" customFormat="1" spans="1:6">
      <c r="A14" s="1" t="s">
        <v>26</v>
      </c>
      <c r="B14" s="1" t="s">
        <v>395</v>
      </c>
      <c r="C14" s="1" t="s">
        <v>47</v>
      </c>
      <c r="D14" s="1">
        <v>6</v>
      </c>
      <c r="E14" s="1">
        <v>3.2</v>
      </c>
      <c r="F14" s="1">
        <v>19.2</v>
      </c>
    </row>
    <row r="15" s="1" customFormat="1" spans="1:6">
      <c r="A15" s="1" t="s">
        <v>26</v>
      </c>
      <c r="B15" s="1" t="s">
        <v>396</v>
      </c>
      <c r="C15" s="1" t="s">
        <v>49</v>
      </c>
      <c r="D15" s="1">
        <v>6</v>
      </c>
      <c r="E15" s="1">
        <v>3.5</v>
      </c>
      <c r="F15" s="1">
        <v>21</v>
      </c>
    </row>
    <row r="16" s="1" customFormat="1" spans="1:6">
      <c r="A16" s="1" t="s">
        <v>26</v>
      </c>
      <c r="B16" s="1" t="s">
        <v>396</v>
      </c>
      <c r="C16" s="1" t="s">
        <v>50</v>
      </c>
      <c r="D16" s="1">
        <v>6</v>
      </c>
      <c r="E16" s="1">
        <v>3.2</v>
      </c>
      <c r="F16" s="1">
        <v>19.2</v>
      </c>
    </row>
    <row r="17" s="1" customFormat="1" spans="1:6">
      <c r="A17" s="1" t="s">
        <v>26</v>
      </c>
      <c r="B17" s="1" t="s">
        <v>397</v>
      </c>
      <c r="C17" s="1" t="s">
        <v>52</v>
      </c>
      <c r="D17" s="1">
        <v>6</v>
      </c>
      <c r="E17" s="1">
        <v>4</v>
      </c>
      <c r="F17" s="1">
        <v>24</v>
      </c>
    </row>
    <row r="18" s="1" customFormat="1" spans="1:6">
      <c r="A18" s="1" t="s">
        <v>26</v>
      </c>
      <c r="B18" s="1" t="s">
        <v>398</v>
      </c>
      <c r="C18" s="1" t="s">
        <v>54</v>
      </c>
      <c r="D18" s="1">
        <v>6</v>
      </c>
      <c r="E18" s="1">
        <v>4</v>
      </c>
      <c r="F18" s="1">
        <v>24</v>
      </c>
    </row>
    <row r="19" s="1" customFormat="1" spans="1:6">
      <c r="A19" s="1" t="s">
        <v>26</v>
      </c>
      <c r="B19" s="1" t="s">
        <v>399</v>
      </c>
      <c r="C19" s="1" t="s">
        <v>56</v>
      </c>
      <c r="D19" s="1">
        <v>6</v>
      </c>
      <c r="E19" s="1">
        <v>4.5</v>
      </c>
      <c r="F19" s="1">
        <v>27</v>
      </c>
    </row>
    <row r="20" s="1" customFormat="1" spans="1:6">
      <c r="A20" s="1" t="s">
        <v>26</v>
      </c>
      <c r="B20" s="1" t="s">
        <v>398</v>
      </c>
      <c r="C20" s="1" t="s">
        <v>57</v>
      </c>
      <c r="D20" s="1">
        <v>6</v>
      </c>
      <c r="E20" s="1">
        <v>5</v>
      </c>
      <c r="F20" s="1">
        <v>30</v>
      </c>
    </row>
    <row r="21" s="1" customFormat="1" spans="1:6">
      <c r="A21" s="1" t="s">
        <v>26</v>
      </c>
      <c r="B21" s="1" t="s">
        <v>399</v>
      </c>
      <c r="C21" s="1" t="s">
        <v>58</v>
      </c>
      <c r="D21" s="1">
        <v>6</v>
      </c>
      <c r="E21" s="1">
        <v>5</v>
      </c>
      <c r="F21" s="1">
        <v>30</v>
      </c>
    </row>
    <row r="22" s="1" customFormat="1" spans="1:6">
      <c r="A22" s="1" t="s">
        <v>26</v>
      </c>
      <c r="B22" s="1" t="s">
        <v>400</v>
      </c>
      <c r="C22" s="1" t="s">
        <v>60</v>
      </c>
      <c r="D22" s="1">
        <v>6</v>
      </c>
      <c r="E22" s="1">
        <v>5.5</v>
      </c>
      <c r="F22" s="1">
        <v>33</v>
      </c>
    </row>
    <row r="23" s="1" customFormat="1" spans="1:6">
      <c r="A23" s="1" t="s">
        <v>26</v>
      </c>
      <c r="B23" s="1" t="s">
        <v>401</v>
      </c>
      <c r="C23" s="1" t="s">
        <v>62</v>
      </c>
      <c r="D23" s="1">
        <v>6</v>
      </c>
      <c r="E23" s="1">
        <v>7</v>
      </c>
      <c r="F23" s="1">
        <v>42</v>
      </c>
    </row>
    <row r="24" s="1" customFormat="1" spans="1:6">
      <c r="A24" s="1" t="s">
        <v>26</v>
      </c>
      <c r="B24" s="1" t="s">
        <v>402</v>
      </c>
      <c r="C24" s="1" t="s">
        <v>64</v>
      </c>
      <c r="D24" s="1">
        <v>6</v>
      </c>
      <c r="E24" s="1">
        <v>7</v>
      </c>
      <c r="F24" s="1">
        <v>42</v>
      </c>
    </row>
    <row r="25" s="1" customFormat="1" spans="1:6">
      <c r="A25" s="1" t="s">
        <v>26</v>
      </c>
      <c r="B25" s="1" t="s">
        <v>403</v>
      </c>
      <c r="C25" s="1" t="s">
        <v>66</v>
      </c>
      <c r="D25" s="1">
        <v>6</v>
      </c>
      <c r="E25" s="1">
        <v>7</v>
      </c>
      <c r="F25" s="1">
        <v>42</v>
      </c>
    </row>
    <row r="26" s="1" customFormat="1" spans="1:6">
      <c r="A26" s="1" t="s">
        <v>26</v>
      </c>
      <c r="B26" s="1" t="s">
        <v>402</v>
      </c>
      <c r="C26" s="1" t="s">
        <v>67</v>
      </c>
      <c r="D26" s="1">
        <v>6</v>
      </c>
      <c r="E26" s="1">
        <v>8</v>
      </c>
      <c r="F26" s="1">
        <v>48</v>
      </c>
    </row>
    <row r="27" s="1" customFormat="1" spans="1:6">
      <c r="A27" s="1" t="s">
        <v>26</v>
      </c>
      <c r="B27" s="1" t="s">
        <v>403</v>
      </c>
      <c r="C27" s="1" t="s">
        <v>68</v>
      </c>
      <c r="D27" s="1">
        <v>6</v>
      </c>
      <c r="E27" s="1">
        <v>8.5</v>
      </c>
      <c r="F27" s="1">
        <v>51</v>
      </c>
    </row>
    <row r="28" s="1" customFormat="1" spans="1:6">
      <c r="A28" s="1" t="s">
        <v>26</v>
      </c>
      <c r="B28" s="1" t="s">
        <v>404</v>
      </c>
      <c r="C28" s="1" t="s">
        <v>70</v>
      </c>
      <c r="D28" s="1">
        <v>6</v>
      </c>
      <c r="E28" s="1">
        <v>10</v>
      </c>
      <c r="F28" s="1">
        <v>60</v>
      </c>
    </row>
    <row r="29" s="1" customFormat="1" spans="1:6">
      <c r="A29" s="1" t="s">
        <v>26</v>
      </c>
      <c r="B29" s="1" t="s">
        <v>404</v>
      </c>
      <c r="C29" s="1" t="s">
        <v>71</v>
      </c>
      <c r="D29" s="1">
        <v>6</v>
      </c>
      <c r="E29" s="1">
        <v>12</v>
      </c>
      <c r="F29" s="1">
        <v>72</v>
      </c>
    </row>
    <row r="30" s="1" customFormat="1" spans="1:6">
      <c r="A30" s="1" t="s">
        <v>26</v>
      </c>
      <c r="B30" s="1" t="s">
        <v>404</v>
      </c>
      <c r="C30" s="1" t="s">
        <v>72</v>
      </c>
      <c r="D30" s="1">
        <v>6</v>
      </c>
      <c r="E30" s="1">
        <v>12</v>
      </c>
      <c r="F30" s="1">
        <v>72</v>
      </c>
    </row>
    <row r="31" s="1" customFormat="1" spans="1:6">
      <c r="A31" s="1" t="s">
        <v>26</v>
      </c>
      <c r="B31" s="1" t="s">
        <v>405</v>
      </c>
      <c r="C31" s="1" t="s">
        <v>74</v>
      </c>
      <c r="D31" s="1">
        <v>6</v>
      </c>
      <c r="E31" s="1">
        <v>12</v>
      </c>
      <c r="F31" s="1">
        <v>72</v>
      </c>
    </row>
    <row r="32" s="1" customFormat="1" spans="1:6">
      <c r="A32" s="1" t="s">
        <v>26</v>
      </c>
      <c r="B32" s="1" t="s">
        <v>399</v>
      </c>
      <c r="C32" s="1" t="s">
        <v>76</v>
      </c>
      <c r="D32" s="1">
        <v>6</v>
      </c>
      <c r="E32" s="1">
        <v>12</v>
      </c>
      <c r="F32" s="1">
        <v>72</v>
      </c>
    </row>
    <row r="33" s="1" customFormat="1" spans="1:6">
      <c r="A33" s="1" t="s">
        <v>26</v>
      </c>
      <c r="B33" s="1" t="s">
        <v>399</v>
      </c>
      <c r="C33" s="1" t="s">
        <v>77</v>
      </c>
      <c r="D33" s="1">
        <v>6</v>
      </c>
      <c r="E33" s="1">
        <v>12</v>
      </c>
      <c r="F33" s="1">
        <v>72</v>
      </c>
    </row>
    <row r="34" s="1" customFormat="1" spans="1:6">
      <c r="A34" s="1" t="s">
        <v>26</v>
      </c>
      <c r="B34" s="1" t="s">
        <v>399</v>
      </c>
      <c r="C34" s="1" t="s">
        <v>78</v>
      </c>
      <c r="D34" s="1">
        <v>6</v>
      </c>
      <c r="E34" s="1">
        <v>36</v>
      </c>
      <c r="F34" s="1">
        <v>216</v>
      </c>
    </row>
    <row r="35" s="1" customFormat="1" spans="1:6">
      <c r="A35" s="1" t="s">
        <v>26</v>
      </c>
      <c r="B35" s="1" t="s">
        <v>406</v>
      </c>
      <c r="C35" s="1" t="s">
        <v>80</v>
      </c>
      <c r="D35" s="1">
        <v>8</v>
      </c>
      <c r="E35" s="1">
        <v>3.2</v>
      </c>
      <c r="F35" s="1">
        <v>25.6</v>
      </c>
    </row>
    <row r="36" s="1" customFormat="1" spans="1:6">
      <c r="A36" s="1" t="s">
        <v>26</v>
      </c>
      <c r="B36" s="1" t="s">
        <v>407</v>
      </c>
      <c r="C36" s="1" t="s">
        <v>82</v>
      </c>
      <c r="D36" s="1">
        <v>12</v>
      </c>
      <c r="E36" s="1">
        <v>0.8</v>
      </c>
      <c r="F36" s="1">
        <v>9.6</v>
      </c>
    </row>
    <row r="37" s="1" customFormat="1" spans="1:6">
      <c r="A37" s="1" t="s">
        <v>26</v>
      </c>
      <c r="B37" s="1" t="s">
        <v>408</v>
      </c>
      <c r="C37" s="1" t="s">
        <v>85</v>
      </c>
      <c r="D37" s="1">
        <v>12</v>
      </c>
      <c r="E37" s="1">
        <v>1.2</v>
      </c>
      <c r="F37" s="1">
        <v>14.4</v>
      </c>
    </row>
    <row r="38" s="1" customFormat="1" spans="1:6">
      <c r="A38" s="1" t="s">
        <v>26</v>
      </c>
      <c r="B38" s="1" t="s">
        <v>409</v>
      </c>
      <c r="C38" s="1" t="s">
        <v>87</v>
      </c>
      <c r="D38" s="1">
        <v>12</v>
      </c>
      <c r="E38" s="1">
        <v>1.3</v>
      </c>
      <c r="F38" s="1">
        <v>15.6</v>
      </c>
    </row>
    <row r="39" s="1" customFormat="1" spans="1:6">
      <c r="A39" s="1" t="s">
        <v>26</v>
      </c>
      <c r="B39" s="1" t="s">
        <v>393</v>
      </c>
      <c r="C39" s="1" t="s">
        <v>89</v>
      </c>
      <c r="D39" s="1">
        <v>12</v>
      </c>
      <c r="E39" s="1">
        <v>1.4</v>
      </c>
      <c r="F39" s="1">
        <v>16.8</v>
      </c>
    </row>
    <row r="40" s="1" customFormat="1" spans="1:6">
      <c r="A40" s="1" t="s">
        <v>26</v>
      </c>
      <c r="B40" s="1" t="s">
        <v>408</v>
      </c>
      <c r="C40" s="1" t="s">
        <v>90</v>
      </c>
      <c r="D40" s="1">
        <v>12</v>
      </c>
      <c r="E40" s="1">
        <v>2</v>
      </c>
      <c r="F40" s="1">
        <v>24</v>
      </c>
    </row>
    <row r="41" s="1" customFormat="1" spans="1:6">
      <c r="A41" s="1" t="s">
        <v>26</v>
      </c>
      <c r="B41" s="1" t="s">
        <v>408</v>
      </c>
      <c r="C41" s="1" t="s">
        <v>91</v>
      </c>
      <c r="D41" s="1">
        <v>12</v>
      </c>
      <c r="E41" s="1">
        <v>2.3</v>
      </c>
      <c r="F41" s="1">
        <v>27.6</v>
      </c>
    </row>
    <row r="42" s="1" customFormat="1" spans="1:6">
      <c r="A42" s="1" t="s">
        <v>26</v>
      </c>
      <c r="B42" s="1" t="s">
        <v>409</v>
      </c>
      <c r="C42" s="1" t="s">
        <v>92</v>
      </c>
      <c r="D42" s="1">
        <v>12</v>
      </c>
      <c r="E42" s="1">
        <v>2.3</v>
      </c>
      <c r="F42" s="1">
        <v>27.6</v>
      </c>
    </row>
    <row r="43" s="1" customFormat="1" spans="1:6">
      <c r="A43" s="1" t="s">
        <v>26</v>
      </c>
      <c r="B43" s="1" t="s">
        <v>409</v>
      </c>
      <c r="C43" s="1" t="s">
        <v>93</v>
      </c>
      <c r="D43" s="1">
        <v>12</v>
      </c>
      <c r="E43" s="1">
        <v>2.6</v>
      </c>
      <c r="F43" s="1">
        <v>31.2</v>
      </c>
    </row>
    <row r="44" s="1" customFormat="1" spans="1:6">
      <c r="A44" s="1" t="s">
        <v>26</v>
      </c>
      <c r="B44" s="1" t="s">
        <v>392</v>
      </c>
      <c r="C44" s="1" t="s">
        <v>96</v>
      </c>
      <c r="D44" s="1">
        <v>12</v>
      </c>
      <c r="E44" s="1">
        <v>2.5</v>
      </c>
      <c r="F44" s="1">
        <v>30</v>
      </c>
    </row>
    <row r="45" s="1" customFormat="1" spans="1:6">
      <c r="A45" s="1" t="s">
        <v>26</v>
      </c>
      <c r="B45" s="1" t="s">
        <v>392</v>
      </c>
      <c r="C45" s="1" t="s">
        <v>97</v>
      </c>
      <c r="D45" s="1">
        <v>12</v>
      </c>
      <c r="E45" s="1">
        <v>2</v>
      </c>
      <c r="F45" s="1">
        <v>24</v>
      </c>
    </row>
    <row r="46" s="1" customFormat="1" spans="1:6">
      <c r="A46" s="1" t="s">
        <v>26</v>
      </c>
      <c r="B46" s="1" t="s">
        <v>392</v>
      </c>
      <c r="C46" s="1" t="s">
        <v>98</v>
      </c>
      <c r="D46" s="1">
        <v>12</v>
      </c>
      <c r="E46" s="1">
        <v>2.1</v>
      </c>
      <c r="F46" s="1">
        <v>25.2</v>
      </c>
    </row>
    <row r="47" s="1" customFormat="1" spans="1:6">
      <c r="A47" s="1" t="s">
        <v>26</v>
      </c>
      <c r="B47" s="1" t="s">
        <v>392</v>
      </c>
      <c r="C47" s="1" t="s">
        <v>99</v>
      </c>
      <c r="D47" s="1">
        <v>12</v>
      </c>
      <c r="E47" s="1">
        <v>2.9</v>
      </c>
      <c r="F47" s="1">
        <v>34.8</v>
      </c>
    </row>
    <row r="48" s="1" customFormat="1" spans="1:6">
      <c r="A48" s="1" t="s">
        <v>26</v>
      </c>
      <c r="B48" s="1" t="s">
        <v>392</v>
      </c>
      <c r="C48" s="1" t="s">
        <v>101</v>
      </c>
      <c r="D48" s="1">
        <v>12</v>
      </c>
      <c r="E48" s="1">
        <v>2.8</v>
      </c>
      <c r="F48" s="1">
        <v>33.6</v>
      </c>
    </row>
    <row r="49" s="1" customFormat="1" spans="1:6">
      <c r="A49" s="1" t="s">
        <v>26</v>
      </c>
      <c r="B49" s="1" t="s">
        <v>392</v>
      </c>
      <c r="C49" s="1" t="s">
        <v>103</v>
      </c>
      <c r="D49" s="1">
        <v>12</v>
      </c>
      <c r="E49" s="1">
        <v>2.9</v>
      </c>
      <c r="F49" s="1">
        <v>34.8</v>
      </c>
    </row>
    <row r="50" s="1" customFormat="1" spans="1:6">
      <c r="A50" s="1" t="s">
        <v>26</v>
      </c>
      <c r="B50" s="1" t="s">
        <v>410</v>
      </c>
      <c r="C50" s="1" t="s">
        <v>105</v>
      </c>
      <c r="D50" s="1">
        <v>12</v>
      </c>
      <c r="E50" s="1">
        <v>3.4</v>
      </c>
      <c r="F50" s="1">
        <v>40.8</v>
      </c>
    </row>
    <row r="51" s="1" customFormat="1" spans="1:6">
      <c r="A51" s="1" t="s">
        <v>26</v>
      </c>
      <c r="B51" s="1" t="s">
        <v>396</v>
      </c>
      <c r="C51" s="1" t="s">
        <v>108</v>
      </c>
      <c r="D51" s="1">
        <v>12</v>
      </c>
      <c r="E51" s="1">
        <v>3.4</v>
      </c>
      <c r="F51" s="1">
        <v>40.8</v>
      </c>
    </row>
    <row r="52" s="1" customFormat="1" spans="1:6">
      <c r="A52" s="1" t="s">
        <v>26</v>
      </c>
      <c r="B52" s="1" t="s">
        <v>396</v>
      </c>
      <c r="C52" s="1" t="s">
        <v>109</v>
      </c>
      <c r="D52" s="1">
        <v>12</v>
      </c>
      <c r="E52" s="1">
        <v>3.8</v>
      </c>
      <c r="F52" s="1">
        <v>45.6</v>
      </c>
    </row>
    <row r="53" s="1" customFormat="1" spans="1:6">
      <c r="A53" s="1" t="s">
        <v>26</v>
      </c>
      <c r="B53" s="1" t="s">
        <v>411</v>
      </c>
      <c r="C53" s="1" t="s">
        <v>112</v>
      </c>
      <c r="D53" s="1">
        <v>12</v>
      </c>
      <c r="E53" s="1">
        <v>4.5</v>
      </c>
      <c r="F53" s="1">
        <v>54</v>
      </c>
    </row>
    <row r="54" s="1" customFormat="1" spans="1:6">
      <c r="A54" s="1" t="s">
        <v>26</v>
      </c>
      <c r="B54" s="1" t="s">
        <v>409</v>
      </c>
      <c r="C54" s="1" t="s">
        <v>113</v>
      </c>
      <c r="D54" s="1">
        <v>12</v>
      </c>
      <c r="E54" s="1">
        <v>4</v>
      </c>
      <c r="F54" s="1">
        <v>48</v>
      </c>
    </row>
    <row r="55" s="1" customFormat="1" spans="1:6">
      <c r="A55" s="1" t="s">
        <v>26</v>
      </c>
      <c r="B55" s="1" t="s">
        <v>412</v>
      </c>
      <c r="C55" s="1" t="s">
        <v>115</v>
      </c>
      <c r="D55" s="1">
        <v>12</v>
      </c>
      <c r="E55" s="1">
        <v>5</v>
      </c>
      <c r="F55" s="1">
        <v>60</v>
      </c>
    </row>
    <row r="56" s="1" customFormat="1" spans="1:6">
      <c r="A56" s="1" t="s">
        <v>26</v>
      </c>
      <c r="B56" s="1" t="s">
        <v>412</v>
      </c>
      <c r="C56" s="1" t="s">
        <v>116</v>
      </c>
      <c r="D56" s="1">
        <v>12</v>
      </c>
      <c r="E56" s="1">
        <v>5</v>
      </c>
      <c r="F56" s="1">
        <v>60</v>
      </c>
    </row>
    <row r="57" s="1" customFormat="1" spans="1:6">
      <c r="A57" s="1" t="s">
        <v>26</v>
      </c>
      <c r="B57" s="1" t="s">
        <v>409</v>
      </c>
      <c r="C57" s="1" t="s">
        <v>117</v>
      </c>
      <c r="D57" s="1">
        <v>12</v>
      </c>
      <c r="E57" s="1">
        <v>5</v>
      </c>
      <c r="F57" s="1">
        <v>60</v>
      </c>
    </row>
    <row r="58" s="1" customFormat="1" spans="1:6">
      <c r="A58" s="1" t="s">
        <v>26</v>
      </c>
      <c r="B58" s="1" t="s">
        <v>409</v>
      </c>
      <c r="C58" s="1" t="s">
        <v>118</v>
      </c>
      <c r="D58" s="1">
        <v>12</v>
      </c>
      <c r="E58" s="1">
        <v>5.5</v>
      </c>
      <c r="F58" s="1">
        <v>66</v>
      </c>
    </row>
    <row r="59" s="1" customFormat="1" spans="1:6">
      <c r="A59" s="1" t="s">
        <v>26</v>
      </c>
      <c r="B59" s="1" t="s">
        <v>392</v>
      </c>
      <c r="C59" s="1" t="s">
        <v>119</v>
      </c>
      <c r="D59" s="1">
        <v>12</v>
      </c>
      <c r="E59" s="1">
        <v>5</v>
      </c>
      <c r="F59" s="1">
        <v>60</v>
      </c>
    </row>
    <row r="60" s="1" customFormat="1" spans="1:6">
      <c r="A60" s="1" t="s">
        <v>26</v>
      </c>
      <c r="B60" s="1" t="s">
        <v>392</v>
      </c>
      <c r="C60" s="1" t="s">
        <v>120</v>
      </c>
      <c r="D60" s="1">
        <v>12</v>
      </c>
      <c r="E60" s="1">
        <v>5</v>
      </c>
      <c r="F60" s="1">
        <v>60</v>
      </c>
    </row>
    <row r="61" s="1" customFormat="1" spans="1:6">
      <c r="A61" s="1" t="s">
        <v>26</v>
      </c>
      <c r="B61" s="1" t="s">
        <v>412</v>
      </c>
      <c r="C61" s="1" t="s">
        <v>121</v>
      </c>
      <c r="D61" s="1">
        <v>12</v>
      </c>
      <c r="E61" s="1">
        <v>7</v>
      </c>
      <c r="F61" s="1">
        <v>84</v>
      </c>
    </row>
    <row r="62" s="1" customFormat="1" spans="1:6">
      <c r="A62" s="1" t="s">
        <v>26</v>
      </c>
      <c r="B62" s="1" t="s">
        <v>412</v>
      </c>
      <c r="C62" s="1" t="s">
        <v>122</v>
      </c>
      <c r="D62" s="1">
        <v>12</v>
      </c>
      <c r="E62" s="1">
        <v>7</v>
      </c>
      <c r="F62" s="1">
        <v>84</v>
      </c>
    </row>
    <row r="63" s="1" customFormat="1" spans="1:6">
      <c r="A63" s="1" t="s">
        <v>26</v>
      </c>
      <c r="B63" s="1" t="s">
        <v>409</v>
      </c>
      <c r="C63" s="1" t="s">
        <v>123</v>
      </c>
      <c r="D63" s="1">
        <v>12</v>
      </c>
      <c r="E63" s="1">
        <v>7</v>
      </c>
      <c r="F63" s="1">
        <v>84</v>
      </c>
    </row>
    <row r="64" s="1" customFormat="1" spans="1:6">
      <c r="A64" s="1" t="s">
        <v>26</v>
      </c>
      <c r="B64" s="1" t="s">
        <v>392</v>
      </c>
      <c r="C64" s="1" t="s">
        <v>124</v>
      </c>
      <c r="D64" s="1">
        <v>12</v>
      </c>
      <c r="E64" s="1">
        <v>7</v>
      </c>
      <c r="F64" s="1">
        <v>84</v>
      </c>
    </row>
    <row r="65" s="1" customFormat="1" spans="1:6">
      <c r="A65" s="1" t="s">
        <v>26</v>
      </c>
      <c r="B65" s="1" t="s">
        <v>392</v>
      </c>
      <c r="C65" s="1" t="s">
        <v>125</v>
      </c>
      <c r="D65" s="1">
        <v>12</v>
      </c>
      <c r="E65" s="1">
        <v>7</v>
      </c>
      <c r="F65" s="1">
        <v>84</v>
      </c>
    </row>
    <row r="66" s="1" customFormat="1" spans="1:6">
      <c r="A66" s="1" t="s">
        <v>26</v>
      </c>
      <c r="B66" s="1" t="s">
        <v>392</v>
      </c>
      <c r="C66" s="1" t="s">
        <v>126</v>
      </c>
      <c r="D66" s="1">
        <v>12</v>
      </c>
      <c r="E66" s="1">
        <v>8</v>
      </c>
      <c r="F66" s="1">
        <v>96</v>
      </c>
    </row>
    <row r="67" s="1" customFormat="1" spans="1:6">
      <c r="A67" s="1" t="s">
        <v>26</v>
      </c>
      <c r="B67" s="1" t="s">
        <v>412</v>
      </c>
      <c r="C67" s="1" t="s">
        <v>127</v>
      </c>
      <c r="D67" s="1">
        <v>12</v>
      </c>
      <c r="E67" s="1">
        <v>9</v>
      </c>
      <c r="F67" s="1">
        <v>108</v>
      </c>
    </row>
    <row r="68" s="1" customFormat="1" spans="1:6">
      <c r="A68" s="1" t="s">
        <v>26</v>
      </c>
      <c r="B68" s="1" t="s">
        <v>409</v>
      </c>
      <c r="C68" s="1" t="s">
        <v>128</v>
      </c>
      <c r="D68" s="1">
        <v>12</v>
      </c>
      <c r="E68" s="1">
        <v>9</v>
      </c>
      <c r="F68" s="1">
        <v>108</v>
      </c>
    </row>
    <row r="69" s="1" customFormat="1" spans="1:6">
      <c r="A69" s="1" t="s">
        <v>26</v>
      </c>
      <c r="B69" s="1" t="s">
        <v>392</v>
      </c>
      <c r="C69" s="1" t="s">
        <v>129</v>
      </c>
      <c r="D69" s="1">
        <v>12</v>
      </c>
      <c r="E69" s="1">
        <v>9</v>
      </c>
      <c r="F69" s="1">
        <v>108</v>
      </c>
    </row>
    <row r="70" s="1" customFormat="1" spans="1:6">
      <c r="A70" s="1" t="s">
        <v>26</v>
      </c>
      <c r="B70" s="1" t="s">
        <v>409</v>
      </c>
      <c r="C70" s="1" t="s">
        <v>130</v>
      </c>
      <c r="D70" s="1">
        <v>12</v>
      </c>
      <c r="E70" s="1">
        <v>10</v>
      </c>
      <c r="F70" s="1">
        <v>120</v>
      </c>
    </row>
    <row r="71" s="1" customFormat="1" spans="1:6">
      <c r="A71" s="1" t="s">
        <v>26</v>
      </c>
      <c r="B71" s="1" t="s">
        <v>392</v>
      </c>
      <c r="C71" s="1" t="s">
        <v>131</v>
      </c>
      <c r="D71" s="1">
        <v>12</v>
      </c>
      <c r="E71" s="1">
        <v>10</v>
      </c>
      <c r="F71" s="1">
        <v>120</v>
      </c>
    </row>
    <row r="72" s="1" customFormat="1" spans="1:6">
      <c r="A72" s="1" t="s">
        <v>26</v>
      </c>
      <c r="B72" s="1" t="s">
        <v>412</v>
      </c>
      <c r="C72" s="1" t="s">
        <v>132</v>
      </c>
      <c r="D72" s="1">
        <v>12</v>
      </c>
      <c r="E72" s="1">
        <v>12</v>
      </c>
      <c r="F72" s="1">
        <v>144</v>
      </c>
    </row>
    <row r="73" s="1" customFormat="1" spans="1:6">
      <c r="A73" s="1" t="s">
        <v>26</v>
      </c>
      <c r="B73" s="1" t="s">
        <v>409</v>
      </c>
      <c r="C73" s="1" t="s">
        <v>133</v>
      </c>
      <c r="D73" s="1">
        <v>12</v>
      </c>
      <c r="E73" s="1">
        <v>12</v>
      </c>
      <c r="F73" s="1">
        <v>144</v>
      </c>
    </row>
    <row r="74" s="1" customFormat="1" spans="1:6">
      <c r="A74" s="1" t="s">
        <v>26</v>
      </c>
      <c r="B74" s="1" t="s">
        <v>392</v>
      </c>
      <c r="C74" s="1" t="s">
        <v>134</v>
      </c>
      <c r="D74" s="1">
        <v>12</v>
      </c>
      <c r="E74" s="1">
        <v>12</v>
      </c>
      <c r="F74" s="1">
        <v>144</v>
      </c>
    </row>
    <row r="75" s="1" customFormat="1" spans="1:6">
      <c r="A75" s="1" t="s">
        <v>26</v>
      </c>
      <c r="B75" s="1" t="s">
        <v>392</v>
      </c>
      <c r="C75" s="1" t="s">
        <v>135</v>
      </c>
      <c r="D75" s="1">
        <v>12</v>
      </c>
      <c r="E75" s="1">
        <v>14</v>
      </c>
      <c r="F75" s="1">
        <v>168</v>
      </c>
    </row>
    <row r="76" s="1" customFormat="1" spans="1:6">
      <c r="A76" s="1" t="s">
        <v>26</v>
      </c>
      <c r="B76" s="1" t="s">
        <v>409</v>
      </c>
      <c r="C76" s="1" t="s">
        <v>136</v>
      </c>
      <c r="D76" s="1">
        <v>12</v>
      </c>
      <c r="E76" s="1">
        <v>17</v>
      </c>
      <c r="F76" s="1">
        <v>204</v>
      </c>
    </row>
    <row r="77" s="1" customFormat="1" spans="1:6">
      <c r="A77" s="1" t="s">
        <v>26</v>
      </c>
      <c r="B77" s="1" t="s">
        <v>412</v>
      </c>
      <c r="C77" s="1" t="s">
        <v>137</v>
      </c>
      <c r="D77" s="1">
        <v>12</v>
      </c>
      <c r="E77" s="1">
        <v>18</v>
      </c>
      <c r="F77" s="1">
        <v>216</v>
      </c>
    </row>
    <row r="78" s="1" customFormat="1" spans="1:6">
      <c r="A78" s="1" t="s">
        <v>26</v>
      </c>
      <c r="B78" s="1" t="s">
        <v>409</v>
      </c>
      <c r="C78" s="1" t="s">
        <v>138</v>
      </c>
      <c r="D78" s="1">
        <v>12</v>
      </c>
      <c r="E78" s="1">
        <v>18</v>
      </c>
      <c r="F78" s="1">
        <v>216</v>
      </c>
    </row>
    <row r="79" s="1" customFormat="1" spans="1:6">
      <c r="A79" s="1" t="s">
        <v>26</v>
      </c>
      <c r="B79" s="1" t="s">
        <v>392</v>
      </c>
      <c r="C79" s="1" t="s">
        <v>139</v>
      </c>
      <c r="D79" s="1">
        <v>12</v>
      </c>
      <c r="E79" s="1">
        <v>18</v>
      </c>
      <c r="F79" s="1">
        <v>216</v>
      </c>
    </row>
    <row r="80" s="1" customFormat="1" spans="1:6">
      <c r="A80" s="1" t="s">
        <v>26</v>
      </c>
      <c r="B80" s="1" t="s">
        <v>392</v>
      </c>
      <c r="C80" s="1" t="s">
        <v>140</v>
      </c>
      <c r="D80" s="1">
        <v>12</v>
      </c>
      <c r="E80" s="1">
        <v>18</v>
      </c>
      <c r="F80" s="1">
        <v>216</v>
      </c>
    </row>
    <row r="81" s="1" customFormat="1" spans="1:6">
      <c r="A81" s="1" t="s">
        <v>26</v>
      </c>
      <c r="B81" s="1" t="s">
        <v>409</v>
      </c>
      <c r="C81" s="1" t="s">
        <v>141</v>
      </c>
      <c r="D81" s="1">
        <v>12</v>
      </c>
      <c r="E81" s="1">
        <v>20</v>
      </c>
      <c r="F81" s="1">
        <v>240</v>
      </c>
    </row>
    <row r="82" s="1" customFormat="1" spans="1:6">
      <c r="A82" s="1" t="s">
        <v>26</v>
      </c>
      <c r="B82" s="1" t="s">
        <v>392</v>
      </c>
      <c r="C82" s="1" t="s">
        <v>142</v>
      </c>
      <c r="D82" s="1">
        <v>12</v>
      </c>
      <c r="E82" s="1">
        <v>20</v>
      </c>
      <c r="F82" s="1">
        <v>240</v>
      </c>
    </row>
    <row r="83" s="1" customFormat="1" spans="1:6">
      <c r="A83" s="1" t="s">
        <v>26</v>
      </c>
      <c r="B83" s="1" t="s">
        <v>413</v>
      </c>
      <c r="C83" s="1" t="s">
        <v>144</v>
      </c>
      <c r="D83" s="1">
        <v>12</v>
      </c>
      <c r="E83" s="1">
        <v>21</v>
      </c>
      <c r="F83" s="1">
        <v>252</v>
      </c>
    </row>
    <row r="84" s="1" customFormat="1" spans="1:6">
      <c r="A84" s="1" t="s">
        <v>26</v>
      </c>
      <c r="B84" s="1" t="s">
        <v>412</v>
      </c>
      <c r="C84" s="1" t="s">
        <v>145</v>
      </c>
      <c r="D84" s="1">
        <v>12</v>
      </c>
      <c r="E84" s="1">
        <v>24</v>
      </c>
      <c r="F84" s="1">
        <v>288</v>
      </c>
    </row>
    <row r="85" s="1" customFormat="1" spans="1:6">
      <c r="A85" s="1" t="s">
        <v>26</v>
      </c>
      <c r="B85" s="1" t="s">
        <v>412</v>
      </c>
      <c r="C85" s="1" t="s">
        <v>146</v>
      </c>
      <c r="D85" s="1">
        <v>12</v>
      </c>
      <c r="E85" s="1">
        <v>24</v>
      </c>
      <c r="F85" s="1">
        <v>288</v>
      </c>
    </row>
    <row r="86" s="1" customFormat="1" spans="1:6">
      <c r="A86" s="1" t="s">
        <v>26</v>
      </c>
      <c r="B86" s="1" t="s">
        <v>409</v>
      </c>
      <c r="C86" s="1" t="s">
        <v>147</v>
      </c>
      <c r="D86" s="1">
        <v>12</v>
      </c>
      <c r="E86" s="1">
        <v>26</v>
      </c>
      <c r="F86" s="1">
        <v>312</v>
      </c>
    </row>
    <row r="87" s="1" customFormat="1" spans="1:6">
      <c r="A87" s="1" t="s">
        <v>26</v>
      </c>
      <c r="B87" s="1" t="s">
        <v>392</v>
      </c>
      <c r="C87" s="1" t="s">
        <v>148</v>
      </c>
      <c r="D87" s="1">
        <v>12</v>
      </c>
      <c r="E87" s="1">
        <v>26</v>
      </c>
      <c r="F87" s="1">
        <v>312</v>
      </c>
    </row>
    <row r="88" s="1" customFormat="1" spans="1:6">
      <c r="A88" s="1" t="s">
        <v>26</v>
      </c>
      <c r="B88" s="1" t="s">
        <v>392</v>
      </c>
      <c r="C88" s="1" t="s">
        <v>149</v>
      </c>
      <c r="D88" s="1">
        <v>12</v>
      </c>
      <c r="E88" s="1">
        <v>26</v>
      </c>
      <c r="F88" s="1">
        <v>312</v>
      </c>
    </row>
    <row r="89" s="1" customFormat="1" spans="1:6">
      <c r="A89" s="1" t="s">
        <v>26</v>
      </c>
      <c r="B89" s="1" t="s">
        <v>409</v>
      </c>
      <c r="C89" s="1" t="s">
        <v>150</v>
      </c>
      <c r="D89" s="1">
        <v>12</v>
      </c>
      <c r="E89" s="1">
        <v>28</v>
      </c>
      <c r="F89" s="1">
        <v>336</v>
      </c>
    </row>
    <row r="90" s="1" customFormat="1" spans="1:6">
      <c r="A90" s="1" t="s">
        <v>26</v>
      </c>
      <c r="B90" s="1" t="s">
        <v>392</v>
      </c>
      <c r="C90" s="1" t="s">
        <v>151</v>
      </c>
      <c r="D90" s="1">
        <v>12</v>
      </c>
      <c r="E90" s="1">
        <v>28</v>
      </c>
      <c r="F90" s="1">
        <v>336</v>
      </c>
    </row>
    <row r="91" s="1" customFormat="1" spans="1:6">
      <c r="A91" s="1" t="s">
        <v>26</v>
      </c>
      <c r="B91" s="1" t="s">
        <v>412</v>
      </c>
      <c r="C91" s="1" t="s">
        <v>152</v>
      </c>
      <c r="D91" s="1">
        <v>12</v>
      </c>
      <c r="E91" s="1">
        <v>33</v>
      </c>
      <c r="F91" s="1">
        <v>396</v>
      </c>
    </row>
    <row r="92" s="1" customFormat="1" spans="1:6">
      <c r="A92" s="1" t="s">
        <v>26</v>
      </c>
      <c r="B92" s="1" t="s">
        <v>409</v>
      </c>
      <c r="C92" s="1" t="s">
        <v>153</v>
      </c>
      <c r="D92" s="1">
        <v>12</v>
      </c>
      <c r="E92" s="1">
        <v>33</v>
      </c>
      <c r="F92" s="1">
        <v>396</v>
      </c>
    </row>
    <row r="93" s="1" customFormat="1" spans="1:6">
      <c r="A93" s="1" t="s">
        <v>26</v>
      </c>
      <c r="B93" s="1" t="s">
        <v>392</v>
      </c>
      <c r="C93" s="1" t="s">
        <v>154</v>
      </c>
      <c r="D93" s="1">
        <v>12</v>
      </c>
      <c r="E93" s="1">
        <v>33</v>
      </c>
      <c r="F93" s="1">
        <v>396</v>
      </c>
    </row>
    <row r="94" s="1" customFormat="1" spans="1:6">
      <c r="A94" s="1" t="s">
        <v>26</v>
      </c>
      <c r="B94" s="1" t="s">
        <v>392</v>
      </c>
      <c r="C94" s="1" t="s">
        <v>155</v>
      </c>
      <c r="D94" s="1">
        <v>12</v>
      </c>
      <c r="E94" s="1">
        <v>35</v>
      </c>
      <c r="F94" s="1">
        <v>420</v>
      </c>
    </row>
    <row r="95" s="1" customFormat="1" spans="1:6">
      <c r="A95" s="1" t="s">
        <v>26</v>
      </c>
      <c r="B95" s="1" t="s">
        <v>409</v>
      </c>
      <c r="C95" s="1" t="s">
        <v>156</v>
      </c>
      <c r="D95" s="1">
        <v>12</v>
      </c>
      <c r="E95" s="1">
        <v>36</v>
      </c>
      <c r="F95" s="1">
        <v>432</v>
      </c>
    </row>
    <row r="96" s="1" customFormat="1" spans="1:6">
      <c r="A96" s="1" t="s">
        <v>26</v>
      </c>
      <c r="B96" s="1" t="s">
        <v>414</v>
      </c>
      <c r="C96" s="1" t="s">
        <v>158</v>
      </c>
      <c r="D96" s="1">
        <v>12</v>
      </c>
      <c r="E96" s="1">
        <v>38</v>
      </c>
      <c r="F96" s="1">
        <v>456</v>
      </c>
    </row>
    <row r="97" s="1" customFormat="1" spans="1:6">
      <c r="A97" s="1" t="s">
        <v>26</v>
      </c>
      <c r="B97" s="1" t="s">
        <v>412</v>
      </c>
      <c r="C97" s="1" t="s">
        <v>159</v>
      </c>
      <c r="D97" s="1">
        <v>12</v>
      </c>
      <c r="E97" s="1">
        <v>38</v>
      </c>
      <c r="F97" s="1">
        <v>456</v>
      </c>
    </row>
    <row r="98" s="1" customFormat="1" spans="1:6">
      <c r="A98" s="1" t="s">
        <v>26</v>
      </c>
      <c r="B98" s="1" t="s">
        <v>409</v>
      </c>
      <c r="C98" s="1" t="s">
        <v>160</v>
      </c>
      <c r="D98" s="1">
        <v>12</v>
      </c>
      <c r="E98" s="1">
        <v>38</v>
      </c>
      <c r="F98" s="1">
        <v>456</v>
      </c>
    </row>
    <row r="99" s="1" customFormat="1" spans="1:6">
      <c r="A99" s="1" t="s">
        <v>26</v>
      </c>
      <c r="B99" s="1" t="s">
        <v>415</v>
      </c>
      <c r="C99" s="1" t="s">
        <v>162</v>
      </c>
      <c r="D99" s="1">
        <v>12</v>
      </c>
      <c r="E99" s="1">
        <v>40</v>
      </c>
      <c r="F99" s="1">
        <v>480</v>
      </c>
    </row>
    <row r="100" s="1" customFormat="1" spans="1:6">
      <c r="A100" s="1" t="s">
        <v>26</v>
      </c>
      <c r="B100" s="1" t="s">
        <v>416</v>
      </c>
      <c r="C100" s="1" t="s">
        <v>164</v>
      </c>
      <c r="D100" s="1">
        <v>12</v>
      </c>
      <c r="E100" s="1">
        <v>40</v>
      </c>
      <c r="F100" s="1">
        <v>480</v>
      </c>
    </row>
    <row r="101" s="1" customFormat="1" spans="1:6">
      <c r="A101" s="1" t="s">
        <v>26</v>
      </c>
      <c r="B101" s="1" t="s">
        <v>409</v>
      </c>
      <c r="C101" s="1" t="s">
        <v>165</v>
      </c>
      <c r="D101" s="1">
        <v>12</v>
      </c>
      <c r="E101" s="1">
        <v>40</v>
      </c>
      <c r="F101" s="1">
        <v>480</v>
      </c>
    </row>
    <row r="102" s="1" customFormat="1" spans="1:6">
      <c r="A102" s="1" t="s">
        <v>26</v>
      </c>
      <c r="B102" s="1" t="s">
        <v>392</v>
      </c>
      <c r="C102" s="1" t="s">
        <v>166</v>
      </c>
      <c r="D102" s="1">
        <v>12</v>
      </c>
      <c r="E102" s="1">
        <v>40</v>
      </c>
      <c r="F102" s="1">
        <v>480</v>
      </c>
    </row>
    <row r="103" s="1" customFormat="1" spans="1:6">
      <c r="A103" s="1" t="s">
        <v>26</v>
      </c>
      <c r="B103" s="1" t="s">
        <v>412</v>
      </c>
      <c r="C103" s="1" t="s">
        <v>167</v>
      </c>
      <c r="D103" s="1">
        <v>12</v>
      </c>
      <c r="E103" s="1">
        <v>55</v>
      </c>
      <c r="F103" s="1">
        <v>660</v>
      </c>
    </row>
    <row r="104" s="1" customFormat="1" spans="1:6">
      <c r="A104" s="1" t="s">
        <v>26</v>
      </c>
      <c r="B104" s="1" t="s">
        <v>409</v>
      </c>
      <c r="C104" s="1" t="s">
        <v>168</v>
      </c>
      <c r="D104" s="1">
        <v>12</v>
      </c>
      <c r="E104" s="1">
        <v>55</v>
      </c>
      <c r="F104" s="1">
        <v>660</v>
      </c>
    </row>
    <row r="105" s="1" customFormat="1" spans="1:6">
      <c r="A105" s="1" t="s">
        <v>26</v>
      </c>
      <c r="B105" s="1" t="s">
        <v>392</v>
      </c>
      <c r="C105" s="1" t="s">
        <v>169</v>
      </c>
      <c r="D105" s="1">
        <v>12</v>
      </c>
      <c r="E105" s="1">
        <v>55</v>
      </c>
      <c r="F105" s="1">
        <v>660</v>
      </c>
    </row>
    <row r="106" s="1" customFormat="1" spans="1:6">
      <c r="A106" s="1" t="s">
        <v>26</v>
      </c>
      <c r="B106" s="1" t="s">
        <v>409</v>
      </c>
      <c r="C106" s="1" t="s">
        <v>170</v>
      </c>
      <c r="D106" s="1">
        <v>12</v>
      </c>
      <c r="E106" s="1">
        <v>60</v>
      </c>
      <c r="F106" s="1">
        <v>720</v>
      </c>
    </row>
    <row r="107" s="1" customFormat="1" spans="1:6">
      <c r="A107" s="1" t="s">
        <v>26</v>
      </c>
      <c r="B107" s="1" t="s">
        <v>414</v>
      </c>
      <c r="C107" s="1" t="s">
        <v>171</v>
      </c>
      <c r="D107" s="1">
        <v>12</v>
      </c>
      <c r="E107" s="1">
        <v>65</v>
      </c>
      <c r="F107" s="1">
        <v>780</v>
      </c>
    </row>
    <row r="108" s="1" customFormat="1" spans="1:6">
      <c r="A108" s="1" t="s">
        <v>26</v>
      </c>
      <c r="B108" s="1" t="s">
        <v>409</v>
      </c>
      <c r="C108" s="1" t="s">
        <v>172</v>
      </c>
      <c r="D108" s="1">
        <v>12</v>
      </c>
      <c r="E108" s="1">
        <v>65</v>
      </c>
      <c r="F108" s="1">
        <v>780</v>
      </c>
    </row>
    <row r="109" s="1" customFormat="1" spans="1:6">
      <c r="A109" s="1" t="s">
        <v>26</v>
      </c>
      <c r="B109" s="1" t="s">
        <v>392</v>
      </c>
      <c r="C109" s="1" t="s">
        <v>173</v>
      </c>
      <c r="D109" s="1">
        <v>12</v>
      </c>
      <c r="E109" s="1">
        <v>65</v>
      </c>
      <c r="F109" s="1">
        <v>780</v>
      </c>
    </row>
    <row r="110" s="1" customFormat="1" spans="1:6">
      <c r="A110" s="1" t="s">
        <v>26</v>
      </c>
      <c r="B110" s="1" t="s">
        <v>409</v>
      </c>
      <c r="C110" s="1" t="s">
        <v>174</v>
      </c>
      <c r="D110" s="1">
        <v>12</v>
      </c>
      <c r="E110" s="1">
        <v>75</v>
      </c>
      <c r="F110" s="1">
        <v>900</v>
      </c>
    </row>
    <row r="111" s="1" customFormat="1" spans="1:6">
      <c r="A111" s="1" t="s">
        <v>26</v>
      </c>
      <c r="B111" s="1" t="s">
        <v>392</v>
      </c>
      <c r="C111" s="1" t="s">
        <v>175</v>
      </c>
      <c r="D111" s="1">
        <v>12</v>
      </c>
      <c r="E111" s="1">
        <v>75</v>
      </c>
      <c r="F111" s="1">
        <v>900</v>
      </c>
    </row>
    <row r="112" s="1" customFormat="1" spans="1:6">
      <c r="A112" s="1" t="s">
        <v>26</v>
      </c>
      <c r="B112" s="1" t="s">
        <v>409</v>
      </c>
      <c r="C112" s="1" t="s">
        <v>176</v>
      </c>
      <c r="D112" s="1">
        <v>12</v>
      </c>
      <c r="E112" s="1">
        <v>80</v>
      </c>
      <c r="F112" s="1">
        <v>960</v>
      </c>
    </row>
    <row r="113" s="1" customFormat="1" spans="1:6">
      <c r="A113" s="1" t="s">
        <v>26</v>
      </c>
      <c r="B113" s="1" t="s">
        <v>414</v>
      </c>
      <c r="C113" s="1" t="s">
        <v>177</v>
      </c>
      <c r="D113" s="1">
        <v>12</v>
      </c>
      <c r="E113" s="1">
        <v>100</v>
      </c>
      <c r="F113" s="1">
        <v>1200</v>
      </c>
    </row>
    <row r="114" s="1" customFormat="1" spans="1:6">
      <c r="A114" s="1" t="s">
        <v>26</v>
      </c>
      <c r="B114" s="1" t="s">
        <v>415</v>
      </c>
      <c r="C114" s="1" t="s">
        <v>178</v>
      </c>
      <c r="D114" s="1">
        <v>12</v>
      </c>
      <c r="E114" s="1">
        <v>100</v>
      </c>
      <c r="F114" s="1">
        <v>1200</v>
      </c>
    </row>
    <row r="115" s="1" customFormat="1" spans="1:6">
      <c r="A115" s="1" t="s">
        <v>26</v>
      </c>
      <c r="B115" s="1" t="s">
        <v>392</v>
      </c>
      <c r="C115" s="1" t="s">
        <v>179</v>
      </c>
      <c r="D115" s="1">
        <v>12</v>
      </c>
      <c r="E115" s="1">
        <v>100</v>
      </c>
      <c r="F115" s="1">
        <v>1200</v>
      </c>
    </row>
    <row r="116" s="1" customFormat="1" spans="1:6">
      <c r="A116" s="1" t="s">
        <v>26</v>
      </c>
      <c r="B116" s="1" t="s">
        <v>392</v>
      </c>
      <c r="C116" s="1" t="s">
        <v>180</v>
      </c>
      <c r="D116" s="1">
        <v>12</v>
      </c>
      <c r="E116" s="1">
        <v>100</v>
      </c>
      <c r="F116" s="1">
        <v>1200</v>
      </c>
    </row>
    <row r="117" s="1" customFormat="1" spans="1:6">
      <c r="A117" s="1" t="s">
        <v>26</v>
      </c>
      <c r="B117" s="1" t="s">
        <v>392</v>
      </c>
      <c r="C117" s="1" t="s">
        <v>181</v>
      </c>
      <c r="D117" s="1">
        <v>12</v>
      </c>
      <c r="E117" s="1">
        <v>110</v>
      </c>
      <c r="F117" s="1">
        <v>1320</v>
      </c>
    </row>
    <row r="118" s="1" customFormat="1" spans="1:6">
      <c r="A118" s="1" t="s">
        <v>26</v>
      </c>
      <c r="B118" s="1" t="s">
        <v>415</v>
      </c>
      <c r="C118" s="1" t="s">
        <v>182</v>
      </c>
      <c r="D118" s="1">
        <v>12</v>
      </c>
      <c r="E118" s="1">
        <v>150</v>
      </c>
      <c r="F118" s="1">
        <v>1800</v>
      </c>
    </row>
    <row r="119" s="1" customFormat="1" spans="1:6">
      <c r="A119" s="1" t="s">
        <v>26</v>
      </c>
      <c r="B119" s="1" t="s">
        <v>417</v>
      </c>
      <c r="C119" s="1" t="s">
        <v>184</v>
      </c>
      <c r="D119" s="1">
        <v>12</v>
      </c>
      <c r="E119" s="1">
        <v>36</v>
      </c>
      <c r="F119" s="1">
        <v>432</v>
      </c>
    </row>
    <row r="120" s="1" customFormat="1" spans="1:6">
      <c r="A120" s="1" t="s">
        <v>26</v>
      </c>
      <c r="B120" s="1" t="s">
        <v>417</v>
      </c>
      <c r="C120" s="1" t="s">
        <v>185</v>
      </c>
      <c r="D120" s="1">
        <v>12</v>
      </c>
      <c r="E120" s="1">
        <v>8.5</v>
      </c>
      <c r="F120" s="1">
        <v>102</v>
      </c>
    </row>
    <row r="121" s="1" customFormat="1" spans="1:6">
      <c r="A121" s="1" t="s">
        <v>26</v>
      </c>
      <c r="B121" s="1" t="s">
        <v>417</v>
      </c>
      <c r="C121" s="1" t="s">
        <v>186</v>
      </c>
      <c r="D121" s="1">
        <v>12</v>
      </c>
      <c r="E121" s="1">
        <v>150</v>
      </c>
      <c r="F121" s="1">
        <v>1800</v>
      </c>
    </row>
    <row r="122" s="1" customFormat="1" spans="1:6">
      <c r="A122" s="1" t="s">
        <v>26</v>
      </c>
      <c r="B122" s="1" t="s">
        <v>417</v>
      </c>
      <c r="C122" s="1" t="s">
        <v>187</v>
      </c>
      <c r="D122" s="1">
        <v>12</v>
      </c>
      <c r="E122" s="1">
        <v>12</v>
      </c>
      <c r="F122" s="1">
        <v>144</v>
      </c>
    </row>
    <row r="123" s="1" customFormat="1" spans="1:6">
      <c r="A123" s="1" t="s">
        <v>26</v>
      </c>
      <c r="B123" s="1" t="s">
        <v>417</v>
      </c>
      <c r="C123" s="1" t="s">
        <v>188</v>
      </c>
      <c r="D123" s="1">
        <v>12</v>
      </c>
      <c r="E123" s="1">
        <v>14</v>
      </c>
      <c r="F123" s="1">
        <v>168</v>
      </c>
    </row>
    <row r="124" s="1" customFormat="1" spans="1:6">
      <c r="A124" s="1" t="s">
        <v>26</v>
      </c>
      <c r="B124" s="1" t="s">
        <v>417</v>
      </c>
      <c r="C124" s="1" t="s">
        <v>189</v>
      </c>
      <c r="D124" s="1">
        <v>12</v>
      </c>
      <c r="E124" s="1">
        <v>20</v>
      </c>
      <c r="F124" s="1">
        <v>240</v>
      </c>
    </row>
    <row r="125" s="1" customFormat="1" spans="1:6">
      <c r="A125" s="1" t="s">
        <v>26</v>
      </c>
      <c r="B125" s="1" t="s">
        <v>417</v>
      </c>
      <c r="C125" s="1" t="s">
        <v>190</v>
      </c>
      <c r="D125" s="1">
        <v>12</v>
      </c>
      <c r="E125" s="1">
        <v>58</v>
      </c>
      <c r="F125" s="1">
        <v>696</v>
      </c>
    </row>
    <row r="126" s="1" customFormat="1" spans="1:6">
      <c r="A126" s="1" t="s">
        <v>26</v>
      </c>
      <c r="B126" s="1" t="s">
        <v>417</v>
      </c>
      <c r="C126" s="1" t="s">
        <v>191</v>
      </c>
      <c r="D126" s="1">
        <v>12</v>
      </c>
      <c r="E126" s="1">
        <v>82</v>
      </c>
      <c r="F126" s="1">
        <v>984</v>
      </c>
    </row>
    <row r="127" s="1" customFormat="1" spans="1:6">
      <c r="A127" s="1" t="s">
        <v>26</v>
      </c>
      <c r="B127" s="1" t="s">
        <v>417</v>
      </c>
      <c r="C127" s="1" t="s">
        <v>192</v>
      </c>
      <c r="D127" s="1">
        <v>12</v>
      </c>
      <c r="E127" s="1">
        <v>95</v>
      </c>
      <c r="F127" s="1">
        <v>1140</v>
      </c>
    </row>
    <row r="128" s="1" customFormat="1" spans="1:6">
      <c r="A128" s="1" t="s">
        <v>26</v>
      </c>
      <c r="B128" s="1" t="s">
        <v>417</v>
      </c>
      <c r="C128" s="1" t="s">
        <v>193</v>
      </c>
      <c r="D128" s="1">
        <v>12</v>
      </c>
      <c r="E128" s="1">
        <v>110</v>
      </c>
      <c r="F128" s="1">
        <v>1320</v>
      </c>
    </row>
    <row r="129" s="1" customFormat="1" spans="1:6">
      <c r="A129" s="1" t="s">
        <v>26</v>
      </c>
      <c r="B129" s="1" t="s">
        <v>418</v>
      </c>
      <c r="C129" s="1" t="s">
        <v>195</v>
      </c>
      <c r="D129" s="1">
        <v>12</v>
      </c>
      <c r="E129" s="1">
        <v>30</v>
      </c>
      <c r="F129" s="1">
        <v>360</v>
      </c>
    </row>
    <row r="130" s="1" customFormat="1" spans="1:6">
      <c r="A130" s="1" t="s">
        <v>26</v>
      </c>
      <c r="B130" s="1" t="s">
        <v>418</v>
      </c>
      <c r="C130" s="1" t="s">
        <v>196</v>
      </c>
      <c r="D130" s="1">
        <v>12</v>
      </c>
      <c r="E130" s="1">
        <v>42</v>
      </c>
      <c r="F130" s="1">
        <v>504</v>
      </c>
    </row>
    <row r="131" s="1" customFormat="1" spans="1:6">
      <c r="A131" s="1" t="s">
        <v>26</v>
      </c>
      <c r="B131" s="1" t="s">
        <v>418</v>
      </c>
      <c r="C131" s="1" t="s">
        <v>197</v>
      </c>
      <c r="D131" s="1">
        <v>12</v>
      </c>
      <c r="E131" s="1">
        <v>42</v>
      </c>
      <c r="F131" s="1">
        <v>504</v>
      </c>
    </row>
    <row r="132" s="1" customFormat="1" spans="1:6">
      <c r="A132" s="1" t="s">
        <v>26</v>
      </c>
      <c r="B132" s="1" t="s">
        <v>418</v>
      </c>
      <c r="C132" s="1" t="s">
        <v>198</v>
      </c>
      <c r="D132" s="1">
        <v>12</v>
      </c>
      <c r="E132" s="1">
        <v>75</v>
      </c>
      <c r="F132" s="1">
        <v>900</v>
      </c>
    </row>
    <row r="133" s="1" customFormat="1" spans="1:3">
      <c r="A133" s="1" t="s">
        <v>26</v>
      </c>
      <c r="B133" s="1" t="s">
        <v>418</v>
      </c>
      <c r="C133" s="1" t="s">
        <v>419</v>
      </c>
    </row>
    <row r="134" s="1" customFormat="1" spans="1:6">
      <c r="A134" s="1" t="s">
        <v>26</v>
      </c>
      <c r="B134" s="1" t="s">
        <v>418</v>
      </c>
      <c r="C134" s="1" t="s">
        <v>199</v>
      </c>
      <c r="D134" s="1">
        <v>12</v>
      </c>
      <c r="E134" s="1">
        <v>98.8</v>
      </c>
      <c r="F134" s="1">
        <v>1185.6</v>
      </c>
    </row>
    <row r="135" s="1" customFormat="1" spans="1:6">
      <c r="A135" s="1" t="s">
        <v>26</v>
      </c>
      <c r="B135" s="1" t="s">
        <v>418</v>
      </c>
      <c r="C135" s="1" t="s">
        <v>202</v>
      </c>
      <c r="D135" s="1">
        <v>12</v>
      </c>
      <c r="E135" s="1">
        <v>126</v>
      </c>
      <c r="F135" s="1">
        <v>1512</v>
      </c>
    </row>
    <row r="136" s="1" customFormat="1" spans="1:6">
      <c r="A136" s="1" t="s">
        <v>26</v>
      </c>
      <c r="B136" s="1" t="s">
        <v>420</v>
      </c>
      <c r="C136" s="1" t="s">
        <v>203</v>
      </c>
      <c r="D136" s="1">
        <v>12</v>
      </c>
      <c r="E136" s="1">
        <v>147</v>
      </c>
      <c r="F136" s="1">
        <v>1764</v>
      </c>
    </row>
    <row r="137" s="1" customFormat="1" spans="1:6">
      <c r="A137" s="1" t="s">
        <v>26</v>
      </c>
      <c r="B137" s="1" t="s">
        <v>421</v>
      </c>
      <c r="C137" s="1" t="s">
        <v>422</v>
      </c>
      <c r="D137" s="1">
        <v>12</v>
      </c>
      <c r="E137" s="1">
        <v>38</v>
      </c>
      <c r="F137" s="1">
        <v>456</v>
      </c>
    </row>
    <row r="138" s="1" customFormat="1" spans="1:6">
      <c r="A138" s="1" t="s">
        <v>26</v>
      </c>
      <c r="B138" s="1" t="s">
        <v>421</v>
      </c>
      <c r="C138" s="1" t="s">
        <v>206</v>
      </c>
      <c r="D138" s="1">
        <v>12</v>
      </c>
      <c r="E138" s="1">
        <v>8.5</v>
      </c>
      <c r="F138" s="1">
        <v>102</v>
      </c>
    </row>
    <row r="139" s="1" customFormat="1" spans="1:6">
      <c r="A139" s="1" t="s">
        <v>26</v>
      </c>
      <c r="B139" s="1" t="s">
        <v>421</v>
      </c>
      <c r="C139" s="1" t="s">
        <v>207</v>
      </c>
      <c r="D139" s="1">
        <v>12</v>
      </c>
      <c r="E139" s="1">
        <v>18</v>
      </c>
      <c r="F139" s="1">
        <v>216</v>
      </c>
    </row>
    <row r="140" s="1" customFormat="1" spans="1:6">
      <c r="A140" s="1" t="s">
        <v>26</v>
      </c>
      <c r="B140" s="1" t="s">
        <v>421</v>
      </c>
      <c r="C140" s="1" t="s">
        <v>208</v>
      </c>
      <c r="D140" s="1">
        <v>12</v>
      </c>
      <c r="E140" s="1">
        <v>24</v>
      </c>
      <c r="F140" s="1">
        <v>288</v>
      </c>
    </row>
    <row r="141" s="1" customFormat="1" spans="1:6">
      <c r="A141" s="1" t="s">
        <v>26</v>
      </c>
      <c r="B141" s="1" t="s">
        <v>421</v>
      </c>
      <c r="C141" s="1" t="s">
        <v>209</v>
      </c>
      <c r="D141" s="1">
        <v>12</v>
      </c>
      <c r="E141" s="1">
        <v>33</v>
      </c>
      <c r="F141" s="1">
        <v>396</v>
      </c>
    </row>
    <row r="142" s="1" customFormat="1" spans="1:6">
      <c r="A142" s="1" t="s">
        <v>26</v>
      </c>
      <c r="B142" s="1" t="s">
        <v>421</v>
      </c>
      <c r="C142" s="1" t="s">
        <v>210</v>
      </c>
      <c r="D142" s="1">
        <v>12</v>
      </c>
      <c r="E142" s="1">
        <v>38</v>
      </c>
      <c r="F142" s="1">
        <v>456</v>
      </c>
    </row>
    <row r="143" s="1" customFormat="1" spans="1:6">
      <c r="A143" s="1" t="s">
        <v>26</v>
      </c>
      <c r="B143" s="1" t="s">
        <v>421</v>
      </c>
      <c r="C143" s="1" t="s">
        <v>211</v>
      </c>
      <c r="D143" s="1">
        <v>12</v>
      </c>
      <c r="E143" s="1">
        <v>215</v>
      </c>
      <c r="F143" s="1">
        <v>2580</v>
      </c>
    </row>
    <row r="144" s="1" customFormat="1" spans="1:6">
      <c r="A144" s="1" t="s">
        <v>26</v>
      </c>
      <c r="B144" s="1" t="s">
        <v>423</v>
      </c>
      <c r="C144" s="1" t="s">
        <v>213</v>
      </c>
      <c r="D144" s="1">
        <v>8</v>
      </c>
      <c r="E144" s="1">
        <v>225</v>
      </c>
      <c r="F144" s="1">
        <v>1800</v>
      </c>
    </row>
    <row r="145" s="1" customFormat="1" spans="1:6">
      <c r="A145" s="1" t="s">
        <v>26</v>
      </c>
      <c r="B145" s="1" t="s">
        <v>423</v>
      </c>
      <c r="C145" s="1" t="s">
        <v>214</v>
      </c>
      <c r="D145" s="1">
        <v>8</v>
      </c>
      <c r="E145" s="1">
        <v>170</v>
      </c>
      <c r="F145" s="1">
        <v>1360</v>
      </c>
    </row>
    <row r="146" s="1" customFormat="1" spans="1:6">
      <c r="A146" s="1" t="s">
        <v>26</v>
      </c>
      <c r="B146" s="1" t="s">
        <v>420</v>
      </c>
      <c r="C146" s="1" t="s">
        <v>216</v>
      </c>
      <c r="D146" s="1">
        <v>12</v>
      </c>
      <c r="E146" s="1">
        <v>33</v>
      </c>
      <c r="F146" s="1">
        <v>396</v>
      </c>
    </row>
    <row r="147" s="1" customFormat="1" spans="1:6">
      <c r="A147" s="1" t="s">
        <v>26</v>
      </c>
      <c r="B147" s="1" t="s">
        <v>420</v>
      </c>
      <c r="C147" s="1" t="s">
        <v>217</v>
      </c>
      <c r="D147" s="1">
        <v>12</v>
      </c>
      <c r="E147" s="1">
        <v>40</v>
      </c>
      <c r="F147" s="1">
        <v>480</v>
      </c>
    </row>
    <row r="148" s="1" customFormat="1" spans="1:6">
      <c r="A148" s="1" t="s">
        <v>26</v>
      </c>
      <c r="B148" s="1" t="s">
        <v>420</v>
      </c>
      <c r="C148" s="1" t="s">
        <v>218</v>
      </c>
      <c r="D148" s="1">
        <v>12</v>
      </c>
      <c r="E148" s="1">
        <v>55</v>
      </c>
      <c r="F148" s="1">
        <v>660</v>
      </c>
    </row>
    <row r="149" s="1" customFormat="1" spans="1:6">
      <c r="A149" s="1" t="s">
        <v>26</v>
      </c>
      <c r="B149" s="1" t="s">
        <v>420</v>
      </c>
      <c r="C149" s="1" t="s">
        <v>219</v>
      </c>
      <c r="D149" s="1">
        <v>12</v>
      </c>
      <c r="E149" s="1">
        <v>65</v>
      </c>
      <c r="F149" s="1">
        <v>780</v>
      </c>
    </row>
    <row r="150" s="1" customFormat="1" spans="1:6">
      <c r="A150" s="1" t="s">
        <v>26</v>
      </c>
      <c r="B150" s="1" t="s">
        <v>420</v>
      </c>
      <c r="C150" s="1" t="s">
        <v>220</v>
      </c>
      <c r="D150" s="1">
        <v>12</v>
      </c>
      <c r="E150" s="1">
        <v>70</v>
      </c>
      <c r="F150" s="1">
        <v>840</v>
      </c>
    </row>
    <row r="151" s="1" customFormat="1" spans="1:6">
      <c r="A151" s="1" t="s">
        <v>26</v>
      </c>
      <c r="B151" s="1" t="s">
        <v>420</v>
      </c>
      <c r="C151" s="1" t="s">
        <v>221</v>
      </c>
      <c r="D151" s="1">
        <v>12</v>
      </c>
      <c r="E151" s="1">
        <v>100</v>
      </c>
      <c r="F151" s="1">
        <v>1200</v>
      </c>
    </row>
    <row r="152" s="1" customFormat="1" spans="1:6">
      <c r="A152" s="1" t="s">
        <v>26</v>
      </c>
      <c r="B152" s="1" t="s">
        <v>420</v>
      </c>
      <c r="C152" s="1" t="s">
        <v>222</v>
      </c>
      <c r="D152" s="1">
        <v>12</v>
      </c>
      <c r="E152" s="1">
        <v>120</v>
      </c>
      <c r="F152" s="1">
        <v>1440</v>
      </c>
    </row>
    <row r="153" s="1" customFormat="1" spans="1:6">
      <c r="A153" s="1" t="s">
        <v>26</v>
      </c>
      <c r="B153" s="1" t="s">
        <v>420</v>
      </c>
      <c r="C153" s="1" t="s">
        <v>223</v>
      </c>
      <c r="D153" s="1">
        <v>12</v>
      </c>
      <c r="E153" s="1">
        <v>120</v>
      </c>
      <c r="F153" s="1">
        <v>1440</v>
      </c>
    </row>
    <row r="154" s="1" customFormat="1" spans="1:6">
      <c r="A154" s="1" t="s">
        <v>26</v>
      </c>
      <c r="B154" s="1" t="s">
        <v>420</v>
      </c>
      <c r="C154" s="1" t="s">
        <v>224</v>
      </c>
      <c r="D154" s="1">
        <v>12</v>
      </c>
      <c r="E154" s="1">
        <v>150</v>
      </c>
      <c r="F154" s="1">
        <v>1800</v>
      </c>
    </row>
    <row r="155" s="1" customFormat="1" spans="1:6">
      <c r="A155" s="1" t="s">
        <v>26</v>
      </c>
      <c r="B155" s="1" t="s">
        <v>420</v>
      </c>
      <c r="C155" s="1" t="s">
        <v>225</v>
      </c>
      <c r="D155" s="1">
        <v>12</v>
      </c>
      <c r="E155" s="1">
        <v>200</v>
      </c>
      <c r="F155" s="1">
        <v>2400</v>
      </c>
    </row>
    <row r="156" s="1" customFormat="1" spans="1:3">
      <c r="A156" s="1" t="s">
        <v>26</v>
      </c>
      <c r="B156" s="1" t="s">
        <v>424</v>
      </c>
      <c r="C156" s="1" t="s">
        <v>425</v>
      </c>
    </row>
    <row r="157" s="1" customFormat="1" spans="1:6">
      <c r="A157" s="1" t="s">
        <v>26</v>
      </c>
      <c r="B157" s="1" t="s">
        <v>424</v>
      </c>
      <c r="C157" s="1" t="s">
        <v>226</v>
      </c>
      <c r="D157" s="1">
        <v>12</v>
      </c>
      <c r="E157" s="1">
        <v>28</v>
      </c>
      <c r="F157" s="1">
        <v>336</v>
      </c>
    </row>
    <row r="158" s="1" customFormat="1" spans="1:6">
      <c r="A158" s="1" t="s">
        <v>26</v>
      </c>
      <c r="B158" s="1" t="s">
        <v>424</v>
      </c>
      <c r="C158" s="1" t="s">
        <v>227</v>
      </c>
      <c r="D158" s="1">
        <v>12</v>
      </c>
      <c r="E158" s="1">
        <v>62</v>
      </c>
      <c r="F158" s="1">
        <v>744</v>
      </c>
    </row>
    <row r="159" s="1" customFormat="1" spans="1:6">
      <c r="A159" s="1" t="s">
        <v>26</v>
      </c>
      <c r="B159" s="1" t="s">
        <v>424</v>
      </c>
      <c r="C159" s="1" t="s">
        <v>228</v>
      </c>
      <c r="D159" s="1">
        <v>12</v>
      </c>
      <c r="E159" s="1">
        <v>12</v>
      </c>
      <c r="F159" s="1">
        <v>144</v>
      </c>
    </row>
    <row r="160" s="1" customFormat="1" spans="1:6">
      <c r="A160" s="1" t="s">
        <v>26</v>
      </c>
      <c r="B160" s="1" t="s">
        <v>426</v>
      </c>
      <c r="C160" s="1" t="s">
        <v>230</v>
      </c>
      <c r="D160" s="1">
        <v>12</v>
      </c>
      <c r="E160" s="1">
        <v>4</v>
      </c>
      <c r="F160" s="1">
        <v>48</v>
      </c>
    </row>
    <row r="161" s="1" customFormat="1" spans="1:6">
      <c r="A161" s="1" t="s">
        <v>26</v>
      </c>
      <c r="B161" s="1" t="s">
        <v>426</v>
      </c>
      <c r="C161" s="1" t="s">
        <v>231</v>
      </c>
      <c r="D161" s="1">
        <v>12</v>
      </c>
      <c r="E161" s="1">
        <v>6</v>
      </c>
      <c r="F161" s="1">
        <v>72</v>
      </c>
    </row>
    <row r="162" s="1" customFormat="1" spans="1:6">
      <c r="A162" s="1" t="s">
        <v>26</v>
      </c>
      <c r="B162" s="1" t="s">
        <v>426</v>
      </c>
      <c r="C162" s="1" t="s">
        <v>232</v>
      </c>
      <c r="D162" s="1">
        <v>12</v>
      </c>
      <c r="E162" s="1">
        <v>6</v>
      </c>
      <c r="F162" s="1">
        <v>72</v>
      </c>
    </row>
    <row r="163" s="1" customFormat="1" spans="1:6">
      <c r="A163" s="1" t="s">
        <v>26</v>
      </c>
      <c r="B163" s="1" t="s">
        <v>426</v>
      </c>
      <c r="C163" s="1" t="s">
        <v>233</v>
      </c>
      <c r="D163" s="1">
        <v>12</v>
      </c>
      <c r="E163" s="1">
        <v>8</v>
      </c>
      <c r="F163" s="1">
        <v>96</v>
      </c>
    </row>
    <row r="164" s="1" customFormat="1" spans="1:6">
      <c r="A164" s="1" t="s">
        <v>26</v>
      </c>
      <c r="B164" s="1" t="s">
        <v>426</v>
      </c>
      <c r="C164" s="1" t="s">
        <v>234</v>
      </c>
      <c r="D164" s="1">
        <v>12</v>
      </c>
      <c r="E164" s="1">
        <v>10</v>
      </c>
      <c r="F164" s="1">
        <v>120</v>
      </c>
    </row>
    <row r="165" s="1" customFormat="1" spans="1:6">
      <c r="A165" s="1" t="s">
        <v>26</v>
      </c>
      <c r="B165" s="1" t="s">
        <v>426</v>
      </c>
      <c r="C165" s="1" t="s">
        <v>235</v>
      </c>
      <c r="D165" s="1">
        <v>12</v>
      </c>
      <c r="E165" s="1">
        <v>12</v>
      </c>
      <c r="F165" s="1">
        <v>144</v>
      </c>
    </row>
    <row r="166" s="1" customFormat="1" spans="1:6">
      <c r="A166" s="1" t="s">
        <v>26</v>
      </c>
      <c r="B166" s="1" t="s">
        <v>427</v>
      </c>
      <c r="C166" s="1" t="s">
        <v>178</v>
      </c>
      <c r="D166" s="1">
        <v>12</v>
      </c>
      <c r="E166" s="1">
        <v>100</v>
      </c>
      <c r="F166" s="1">
        <v>1200</v>
      </c>
    </row>
    <row r="167" s="1" customFormat="1" spans="1:6">
      <c r="A167" s="1" t="s">
        <v>26</v>
      </c>
      <c r="B167" s="1" t="s">
        <v>427</v>
      </c>
      <c r="C167" s="1" t="s">
        <v>182</v>
      </c>
      <c r="D167" s="1">
        <v>12</v>
      </c>
      <c r="E167" s="1">
        <v>150</v>
      </c>
      <c r="F167" s="1">
        <v>1800</v>
      </c>
    </row>
    <row r="168" s="1" customFormat="1" spans="1:6">
      <c r="A168" s="1" t="s">
        <v>26</v>
      </c>
      <c r="B168" s="1" t="s">
        <v>427</v>
      </c>
      <c r="C168" s="1" t="s">
        <v>162</v>
      </c>
      <c r="D168" s="1">
        <v>12</v>
      </c>
      <c r="E168" s="1">
        <v>40</v>
      </c>
      <c r="F168" s="1">
        <v>480</v>
      </c>
    </row>
    <row r="169" s="1" customFormat="1" spans="1:6">
      <c r="A169" s="1" t="s">
        <v>26</v>
      </c>
      <c r="B169" s="1" t="s">
        <v>427</v>
      </c>
      <c r="C169" s="1" t="s">
        <v>236</v>
      </c>
      <c r="D169" s="1">
        <v>12</v>
      </c>
      <c r="E169" s="1">
        <v>100</v>
      </c>
      <c r="F169" s="1">
        <v>1200</v>
      </c>
    </row>
    <row r="170" s="1" customFormat="1" spans="1:6">
      <c r="A170" s="1" t="s">
        <v>26</v>
      </c>
      <c r="B170" s="1" t="s">
        <v>427</v>
      </c>
      <c r="C170" s="1" t="s">
        <v>237</v>
      </c>
      <c r="D170" s="1">
        <v>12</v>
      </c>
      <c r="E170" s="1">
        <v>150</v>
      </c>
      <c r="F170" s="1">
        <v>1800</v>
      </c>
    </row>
    <row r="171" s="1" customFormat="1" spans="1:6">
      <c r="A171" s="1" t="s">
        <v>26</v>
      </c>
      <c r="B171" s="1" t="s">
        <v>427</v>
      </c>
      <c r="C171" s="1" t="s">
        <v>238</v>
      </c>
      <c r="D171" s="1">
        <v>12</v>
      </c>
      <c r="E171" s="1">
        <v>200</v>
      </c>
      <c r="F171" s="1">
        <v>2400</v>
      </c>
    </row>
    <row r="172" s="1" customFormat="1" spans="1:6">
      <c r="A172" s="1" t="s">
        <v>239</v>
      </c>
      <c r="B172" s="1" t="s">
        <v>428</v>
      </c>
      <c r="C172" s="1" t="s">
        <v>241</v>
      </c>
      <c r="D172" s="1">
        <v>1.5</v>
      </c>
      <c r="E172" s="1">
        <v>25</v>
      </c>
      <c r="F172" s="1">
        <v>37.5</v>
      </c>
    </row>
    <row r="173" s="1" customFormat="1" spans="1:6">
      <c r="A173" s="1" t="s">
        <v>239</v>
      </c>
      <c r="B173" s="1" t="s">
        <v>429</v>
      </c>
      <c r="C173" s="1" t="s">
        <v>244</v>
      </c>
      <c r="D173" s="1">
        <v>12</v>
      </c>
      <c r="E173" s="1">
        <v>55</v>
      </c>
      <c r="F173" s="1">
        <v>660</v>
      </c>
    </row>
    <row r="174" s="1" customFormat="1" spans="1:6">
      <c r="A174" s="1" t="s">
        <v>239</v>
      </c>
      <c r="B174" s="1" t="s">
        <v>430</v>
      </c>
      <c r="C174" s="1" t="s">
        <v>246</v>
      </c>
      <c r="D174" s="1">
        <v>9</v>
      </c>
      <c r="E174" s="1">
        <v>0.15</v>
      </c>
      <c r="F174" s="1">
        <v>1.35</v>
      </c>
    </row>
    <row r="175" s="1" customFormat="1" spans="1:6">
      <c r="A175" s="1" t="s">
        <v>249</v>
      </c>
      <c r="B175" s="1" t="s">
        <v>431</v>
      </c>
      <c r="C175" s="1" t="s">
        <v>432</v>
      </c>
      <c r="D175" s="1">
        <v>3</v>
      </c>
      <c r="E175" s="1">
        <v>25</v>
      </c>
      <c r="F175" s="1">
        <v>75</v>
      </c>
    </row>
    <row r="176" s="1" customFormat="1" spans="1:6">
      <c r="A176" s="1" t="s">
        <v>249</v>
      </c>
      <c r="B176" s="1" t="s">
        <v>431</v>
      </c>
      <c r="C176" s="1" t="s">
        <v>433</v>
      </c>
      <c r="D176" s="1">
        <v>3</v>
      </c>
      <c r="E176" s="1">
        <v>38</v>
      </c>
      <c r="F176" s="1">
        <v>114</v>
      </c>
    </row>
    <row r="177" s="1" customFormat="1" spans="1:6">
      <c r="A177" s="1" t="s">
        <v>249</v>
      </c>
      <c r="B177" s="1" t="s">
        <v>431</v>
      </c>
      <c r="C177" s="1" t="s">
        <v>434</v>
      </c>
      <c r="D177" s="1">
        <v>3</v>
      </c>
      <c r="E177" s="1">
        <v>48</v>
      </c>
      <c r="F177" s="1">
        <v>144</v>
      </c>
    </row>
    <row r="178" s="1" customFormat="1" spans="1:6">
      <c r="A178" s="1" t="s">
        <v>249</v>
      </c>
      <c r="B178" s="1" t="s">
        <v>431</v>
      </c>
      <c r="C178" s="1" t="s">
        <v>435</v>
      </c>
      <c r="D178" s="1">
        <v>3</v>
      </c>
      <c r="E178" s="1">
        <v>0.05</v>
      </c>
      <c r="F178" s="1">
        <v>0.15</v>
      </c>
    </row>
    <row r="179" s="1" customFormat="1" spans="1:6">
      <c r="A179" s="1" t="s">
        <v>249</v>
      </c>
      <c r="B179" s="1" t="s">
        <v>431</v>
      </c>
      <c r="C179" s="1" t="s">
        <v>436</v>
      </c>
      <c r="D179" s="1">
        <v>3</v>
      </c>
      <c r="E179" s="1">
        <v>68</v>
      </c>
      <c r="F179" s="1">
        <v>204</v>
      </c>
    </row>
    <row r="180" s="1" customFormat="1" spans="1:6">
      <c r="A180" s="1" t="s">
        <v>249</v>
      </c>
      <c r="B180" s="1" t="s">
        <v>431</v>
      </c>
      <c r="C180" s="1" t="s">
        <v>437</v>
      </c>
      <c r="D180" s="1">
        <v>3</v>
      </c>
      <c r="E180" s="1">
        <v>125</v>
      </c>
      <c r="F180" s="1">
        <v>375</v>
      </c>
    </row>
    <row r="181" s="1" customFormat="1" spans="1:6">
      <c r="A181" s="1" t="s">
        <v>249</v>
      </c>
      <c r="B181" s="1" t="s">
        <v>431</v>
      </c>
      <c r="C181" s="1" t="s">
        <v>438</v>
      </c>
      <c r="D181" s="1">
        <v>3</v>
      </c>
      <c r="E181" s="1">
        <v>0.08</v>
      </c>
      <c r="F181" s="1">
        <v>0.24</v>
      </c>
    </row>
    <row r="182" s="1" customFormat="1" spans="1:6">
      <c r="A182" s="1" t="s">
        <v>249</v>
      </c>
      <c r="B182" s="1" t="s">
        <v>431</v>
      </c>
      <c r="C182" s="1" t="s">
        <v>439</v>
      </c>
      <c r="D182" s="1">
        <v>3</v>
      </c>
      <c r="E182" s="1">
        <v>0.17</v>
      </c>
      <c r="F182" s="1">
        <v>0.51</v>
      </c>
    </row>
    <row r="183" s="1" customFormat="1" spans="1:6">
      <c r="A183" s="1" t="s">
        <v>249</v>
      </c>
      <c r="B183" s="1" t="s">
        <v>431</v>
      </c>
      <c r="C183" s="1" t="s">
        <v>440</v>
      </c>
      <c r="D183" s="1">
        <v>3</v>
      </c>
      <c r="E183" s="1">
        <v>235</v>
      </c>
      <c r="F183" s="1">
        <v>705</v>
      </c>
    </row>
    <row r="184" s="1" customFormat="1" spans="1:6">
      <c r="A184" s="1" t="s">
        <v>249</v>
      </c>
      <c r="B184" s="1" t="s">
        <v>431</v>
      </c>
      <c r="C184" s="1" t="s">
        <v>441</v>
      </c>
      <c r="D184" s="1">
        <v>3</v>
      </c>
      <c r="E184" s="1">
        <v>0.15</v>
      </c>
      <c r="F184" s="1">
        <v>0.45</v>
      </c>
    </row>
    <row r="185" s="1" customFormat="1" spans="1:6">
      <c r="A185" s="1" t="s">
        <v>249</v>
      </c>
      <c r="B185" s="1" t="s">
        <v>431</v>
      </c>
      <c r="C185" s="1" t="s">
        <v>442</v>
      </c>
      <c r="D185" s="1">
        <v>3</v>
      </c>
      <c r="E185" s="1">
        <v>0.19</v>
      </c>
      <c r="F185" s="1">
        <v>0.57</v>
      </c>
    </row>
    <row r="186" s="1" customFormat="1" spans="1:6">
      <c r="A186" s="1" t="s">
        <v>249</v>
      </c>
      <c r="B186" s="1" t="s">
        <v>431</v>
      </c>
      <c r="C186" s="1" t="s">
        <v>443</v>
      </c>
      <c r="D186" s="1">
        <v>3</v>
      </c>
      <c r="E186" s="1">
        <v>0.25</v>
      </c>
      <c r="F186" s="1">
        <v>0.75</v>
      </c>
    </row>
    <row r="187" s="1" customFormat="1" spans="1:6">
      <c r="A187" s="1" t="s">
        <v>249</v>
      </c>
      <c r="B187" s="1" t="s">
        <v>431</v>
      </c>
      <c r="C187" s="1" t="s">
        <v>444</v>
      </c>
      <c r="D187" s="1">
        <v>3</v>
      </c>
      <c r="E187" s="1">
        <v>0.35</v>
      </c>
      <c r="F187" s="1">
        <v>1.05</v>
      </c>
    </row>
    <row r="188" s="1" customFormat="1" spans="1:6">
      <c r="A188" s="1" t="s">
        <v>249</v>
      </c>
      <c r="B188" s="1" t="s">
        <v>431</v>
      </c>
      <c r="C188" s="1" t="s">
        <v>445</v>
      </c>
      <c r="D188" s="1">
        <v>3</v>
      </c>
      <c r="E188" s="1">
        <v>285</v>
      </c>
      <c r="F188" s="1">
        <v>855</v>
      </c>
    </row>
    <row r="189" s="1" customFormat="1" spans="1:6">
      <c r="A189" s="1" t="s">
        <v>249</v>
      </c>
      <c r="B189" s="1" t="s">
        <v>431</v>
      </c>
      <c r="C189" s="1" t="s">
        <v>446</v>
      </c>
      <c r="D189" s="1">
        <v>3</v>
      </c>
      <c r="E189" s="1">
        <v>0.54</v>
      </c>
      <c r="F189" s="1">
        <v>1.62</v>
      </c>
    </row>
    <row r="190" s="1" customFormat="1" spans="1:6">
      <c r="A190" s="1" t="s">
        <v>249</v>
      </c>
      <c r="B190" s="1" t="s">
        <v>431</v>
      </c>
      <c r="C190" s="1" t="s">
        <v>447</v>
      </c>
      <c r="D190" s="1">
        <v>3</v>
      </c>
      <c r="E190" s="1">
        <v>0.95</v>
      </c>
      <c r="F190" s="1">
        <v>2.85</v>
      </c>
    </row>
    <row r="191" s="1" customFormat="1" spans="1:6">
      <c r="A191" s="1" t="s">
        <v>249</v>
      </c>
      <c r="B191" s="1" t="s">
        <v>431</v>
      </c>
      <c r="C191" s="1" t="s">
        <v>448</v>
      </c>
      <c r="D191" s="1">
        <v>3</v>
      </c>
      <c r="E191" s="1">
        <v>0.56</v>
      </c>
      <c r="F191" s="1">
        <v>1.68</v>
      </c>
    </row>
    <row r="192" s="1" customFormat="1" spans="1:6">
      <c r="A192" s="1" t="s">
        <v>249</v>
      </c>
      <c r="B192" s="1" t="s">
        <v>449</v>
      </c>
      <c r="C192" s="1" t="s">
        <v>286</v>
      </c>
      <c r="D192" s="1">
        <v>3</v>
      </c>
      <c r="E192" s="1">
        <v>1.2</v>
      </c>
      <c r="F192" s="1">
        <v>3.6</v>
      </c>
    </row>
    <row r="193" s="1" customFormat="1" spans="1:6">
      <c r="A193" s="1" t="s">
        <v>249</v>
      </c>
      <c r="B193" s="1" t="s">
        <v>449</v>
      </c>
      <c r="C193" s="1" t="s">
        <v>287</v>
      </c>
      <c r="D193" s="1">
        <v>3</v>
      </c>
      <c r="E193" s="1">
        <v>1.55</v>
      </c>
      <c r="F193" s="1">
        <v>4.65</v>
      </c>
    </row>
    <row r="194" s="1" customFormat="1" spans="1:6">
      <c r="A194" s="1" t="s">
        <v>249</v>
      </c>
      <c r="B194" s="1" t="s">
        <v>449</v>
      </c>
      <c r="C194" s="1" t="s">
        <v>290</v>
      </c>
      <c r="D194" s="1">
        <v>3.6</v>
      </c>
      <c r="E194" s="1">
        <v>9</v>
      </c>
      <c r="F194" s="1">
        <v>32.4</v>
      </c>
    </row>
    <row r="195" s="1" customFormat="1" spans="1:6">
      <c r="A195" s="1" t="s">
        <v>249</v>
      </c>
      <c r="B195" s="1" t="s">
        <v>449</v>
      </c>
      <c r="C195" s="1" t="s">
        <v>292</v>
      </c>
      <c r="D195" s="1">
        <v>3.6</v>
      </c>
      <c r="E195" s="1">
        <v>20</v>
      </c>
      <c r="F195" s="1">
        <v>72</v>
      </c>
    </row>
    <row r="196" s="1" customFormat="1" spans="1:6">
      <c r="A196" s="1" t="s">
        <v>249</v>
      </c>
      <c r="B196" s="1" t="s">
        <v>450</v>
      </c>
      <c r="C196" s="1" t="s">
        <v>294</v>
      </c>
      <c r="D196" s="1">
        <v>3.7</v>
      </c>
      <c r="E196" s="1">
        <v>1.1</v>
      </c>
      <c r="F196" s="1">
        <v>4.07</v>
      </c>
    </row>
    <row r="197" s="1" customFormat="1" spans="1:6">
      <c r="A197" s="1" t="s">
        <v>249</v>
      </c>
      <c r="B197" s="1" t="s">
        <v>450</v>
      </c>
      <c r="C197" s="1" t="s">
        <v>295</v>
      </c>
      <c r="D197" s="1">
        <v>3.7</v>
      </c>
      <c r="E197" s="1">
        <v>2.2</v>
      </c>
      <c r="F197" s="1">
        <v>8.14</v>
      </c>
    </row>
    <row r="198" s="1" customFormat="1" spans="1:6">
      <c r="A198" s="1" t="s">
        <v>249</v>
      </c>
      <c r="B198" s="1" t="s">
        <v>450</v>
      </c>
      <c r="C198" s="1" t="s">
        <v>297</v>
      </c>
      <c r="D198" s="1">
        <v>3.7</v>
      </c>
      <c r="E198" s="1">
        <v>2.6</v>
      </c>
      <c r="F198" s="1">
        <v>9.62</v>
      </c>
    </row>
    <row r="199" s="1" customFormat="1" spans="1:6">
      <c r="A199" s="1" t="s">
        <v>249</v>
      </c>
      <c r="B199" s="1" t="s">
        <v>450</v>
      </c>
      <c r="C199" s="1" t="s">
        <v>299</v>
      </c>
      <c r="D199" s="1">
        <v>3.7</v>
      </c>
      <c r="E199" s="1">
        <v>3</v>
      </c>
      <c r="F199" s="1">
        <v>11.1</v>
      </c>
    </row>
    <row r="200" s="1" customFormat="1" spans="1:6">
      <c r="A200" s="1" t="s">
        <v>249</v>
      </c>
      <c r="B200" s="1" t="s">
        <v>450</v>
      </c>
      <c r="C200" s="1" t="s">
        <v>300</v>
      </c>
      <c r="D200" s="1">
        <v>3.7</v>
      </c>
      <c r="E200" s="1">
        <v>3.2</v>
      </c>
      <c r="F200" s="1">
        <v>11.84</v>
      </c>
    </row>
    <row r="201" s="1" customFormat="1" spans="1:6">
      <c r="A201" s="1" t="s">
        <v>249</v>
      </c>
      <c r="B201" s="1" t="s">
        <v>450</v>
      </c>
      <c r="C201" s="1" t="s">
        <v>302</v>
      </c>
      <c r="D201" s="1">
        <v>3.7</v>
      </c>
      <c r="E201" s="1">
        <v>2.2</v>
      </c>
      <c r="F201" s="1">
        <v>8.14</v>
      </c>
    </row>
    <row r="202" s="1" customFormat="1" spans="1:6">
      <c r="A202" s="1" t="s">
        <v>249</v>
      </c>
      <c r="B202" s="1" t="s">
        <v>450</v>
      </c>
      <c r="C202" s="1" t="s">
        <v>303</v>
      </c>
      <c r="D202" s="1">
        <v>3.7</v>
      </c>
      <c r="E202" s="1">
        <v>4</v>
      </c>
      <c r="F202" s="1">
        <v>14.8</v>
      </c>
    </row>
    <row r="203" s="1" customFormat="1" spans="1:6">
      <c r="A203" s="1" t="s">
        <v>249</v>
      </c>
      <c r="B203" s="1" t="s">
        <v>450</v>
      </c>
      <c r="C203" s="1" t="s">
        <v>304</v>
      </c>
      <c r="D203" s="1">
        <v>3.7</v>
      </c>
      <c r="E203" s="1">
        <v>5</v>
      </c>
      <c r="F203" s="1">
        <v>18.5</v>
      </c>
    </row>
    <row r="204" s="1" customFormat="1" spans="1:6">
      <c r="A204" s="1" t="s">
        <v>249</v>
      </c>
      <c r="B204" s="1" t="s">
        <v>450</v>
      </c>
      <c r="C204" s="1" t="s">
        <v>305</v>
      </c>
      <c r="D204" s="1">
        <v>3.7</v>
      </c>
      <c r="E204" s="1">
        <v>5</v>
      </c>
      <c r="F204" s="1">
        <v>18.5</v>
      </c>
    </row>
    <row r="205" s="1" customFormat="1" spans="1:6">
      <c r="A205" s="1" t="s">
        <v>249</v>
      </c>
      <c r="B205" s="1" t="s">
        <v>450</v>
      </c>
      <c r="C205" s="1" t="s">
        <v>306</v>
      </c>
      <c r="D205" s="1">
        <v>3.7</v>
      </c>
      <c r="E205" s="1">
        <v>4.5</v>
      </c>
      <c r="F205" s="1">
        <v>16.65</v>
      </c>
    </row>
    <row r="206" s="1" customFormat="1" spans="1:6">
      <c r="A206" s="1" t="s">
        <v>249</v>
      </c>
      <c r="B206" s="1" t="s">
        <v>450</v>
      </c>
      <c r="C206" s="1" t="s">
        <v>308</v>
      </c>
      <c r="D206" s="1">
        <v>3.7</v>
      </c>
      <c r="E206" s="1">
        <v>5</v>
      </c>
      <c r="F206" s="1">
        <v>18.5</v>
      </c>
    </row>
    <row r="207" s="1" customFormat="1" spans="1:6">
      <c r="A207" s="1" t="s">
        <v>249</v>
      </c>
      <c r="B207" s="1" t="s">
        <v>309</v>
      </c>
      <c r="C207" s="1" t="s">
        <v>310</v>
      </c>
      <c r="D207" s="1">
        <v>36</v>
      </c>
      <c r="E207" s="1">
        <v>13</v>
      </c>
      <c r="F207" s="1">
        <v>468</v>
      </c>
    </row>
    <row r="208" s="1" customFormat="1" spans="1:6">
      <c r="A208" s="1" t="s">
        <v>249</v>
      </c>
      <c r="B208" s="1" t="s">
        <v>309</v>
      </c>
      <c r="C208" s="1" t="s">
        <v>311</v>
      </c>
      <c r="D208" s="1">
        <v>36</v>
      </c>
      <c r="E208" s="1">
        <v>20</v>
      </c>
      <c r="F208" s="1">
        <v>720</v>
      </c>
    </row>
    <row r="209" s="1" customFormat="1" spans="1:6">
      <c r="A209" s="1" t="s">
        <v>249</v>
      </c>
      <c r="B209" s="1" t="s">
        <v>309</v>
      </c>
      <c r="C209" s="1" t="s">
        <v>312</v>
      </c>
      <c r="D209" s="1">
        <v>48</v>
      </c>
      <c r="E209" s="1">
        <v>13</v>
      </c>
      <c r="F209" s="1">
        <v>624</v>
      </c>
    </row>
    <row r="210" s="1" customFormat="1" spans="1:6">
      <c r="A210" s="1" t="s">
        <v>249</v>
      </c>
      <c r="B210" s="1" t="s">
        <v>309</v>
      </c>
      <c r="C210" s="1" t="s">
        <v>313</v>
      </c>
      <c r="D210" s="1">
        <v>48</v>
      </c>
      <c r="E210" s="1">
        <v>20</v>
      </c>
      <c r="F210" s="1">
        <v>960</v>
      </c>
    </row>
    <row r="211" s="1" customFormat="1" spans="1:6">
      <c r="A211" s="1" t="s">
        <v>6</v>
      </c>
      <c r="B211" s="1" t="s">
        <v>451</v>
      </c>
      <c r="C211" s="1" t="s">
        <v>10</v>
      </c>
      <c r="D211" s="1">
        <v>3.7</v>
      </c>
      <c r="E211" s="1">
        <v>0.3</v>
      </c>
      <c r="F211" s="1">
        <v>1.11</v>
      </c>
    </row>
    <row r="212" s="1" customFormat="1" spans="1:6">
      <c r="A212" s="1" t="s">
        <v>6</v>
      </c>
      <c r="B212" s="1" t="s">
        <v>451</v>
      </c>
      <c r="C212" s="1" t="s">
        <v>8</v>
      </c>
      <c r="D212" s="1">
        <v>3.7</v>
      </c>
      <c r="E212" s="1">
        <v>0.5</v>
      </c>
      <c r="F212" s="1">
        <v>1.85</v>
      </c>
    </row>
    <row r="213" s="1" customFormat="1" spans="1:6">
      <c r="A213" s="1" t="s">
        <v>6</v>
      </c>
      <c r="B213" s="1" t="s">
        <v>451</v>
      </c>
      <c r="C213" s="1" t="s">
        <v>12</v>
      </c>
      <c r="D213" s="1">
        <v>3.7</v>
      </c>
      <c r="E213" s="1">
        <v>0.5</v>
      </c>
      <c r="F213" s="1">
        <v>1.85</v>
      </c>
    </row>
    <row r="214" s="1" customFormat="1" spans="1:6">
      <c r="A214" s="1" t="s">
        <v>6</v>
      </c>
      <c r="B214" s="1" t="s">
        <v>451</v>
      </c>
      <c r="C214" s="1" t="s">
        <v>15</v>
      </c>
      <c r="D214" s="1">
        <v>11.1</v>
      </c>
      <c r="E214" s="1">
        <v>0.85</v>
      </c>
      <c r="F214" s="2">
        <f>D214*E214</f>
        <v>9.435</v>
      </c>
    </row>
    <row r="215" s="1" customFormat="1" spans="1:6">
      <c r="A215" s="1" t="s">
        <v>6</v>
      </c>
      <c r="B215" s="1" t="s">
        <v>451</v>
      </c>
      <c r="C215" s="1" t="s">
        <v>18</v>
      </c>
      <c r="D215" s="1">
        <v>11.1</v>
      </c>
      <c r="E215" s="1">
        <v>1.3</v>
      </c>
      <c r="F215" s="1">
        <v>14.43</v>
      </c>
    </row>
    <row r="216" s="1" customFormat="1" spans="1:6">
      <c r="A216" s="1" t="s">
        <v>6</v>
      </c>
      <c r="B216" s="1" t="s">
        <v>451</v>
      </c>
      <c r="C216" s="1" t="s">
        <v>19</v>
      </c>
      <c r="D216" s="1">
        <v>11.1</v>
      </c>
      <c r="E216" s="1">
        <v>1.4</v>
      </c>
      <c r="F216" s="1">
        <v>15.54</v>
      </c>
    </row>
    <row r="217" s="1" customFormat="1" spans="1:6">
      <c r="A217" s="1" t="s">
        <v>6</v>
      </c>
      <c r="B217" s="1" t="s">
        <v>451</v>
      </c>
      <c r="C217" s="1" t="s">
        <v>16</v>
      </c>
      <c r="D217" s="1">
        <v>11.1</v>
      </c>
      <c r="E217" s="1">
        <v>1.5</v>
      </c>
      <c r="F217" s="1">
        <v>16.65</v>
      </c>
    </row>
    <row r="218" s="1" customFormat="1" spans="1:6">
      <c r="A218" s="1" t="s">
        <v>6</v>
      </c>
      <c r="B218" s="1" t="s">
        <v>451</v>
      </c>
      <c r="C218" s="1" t="s">
        <v>23</v>
      </c>
      <c r="D218" s="1">
        <v>14.8</v>
      </c>
      <c r="E218" s="1">
        <v>1.3</v>
      </c>
      <c r="F218" s="1">
        <v>19.24</v>
      </c>
    </row>
    <row r="219" s="1" customFormat="1" spans="1:6">
      <c r="A219" s="1" t="s">
        <v>6</v>
      </c>
      <c r="B219" s="1" t="s">
        <v>451</v>
      </c>
      <c r="C219" s="1" t="s">
        <v>322</v>
      </c>
      <c r="D219" s="1">
        <v>14.8</v>
      </c>
      <c r="E219" s="1">
        <v>1.3</v>
      </c>
      <c r="F219" s="1">
        <v>19.24</v>
      </c>
    </row>
    <row r="220" s="1" customFormat="1" spans="1:6">
      <c r="A220" s="1" t="s">
        <v>6</v>
      </c>
      <c r="B220" s="1" t="s">
        <v>451</v>
      </c>
      <c r="C220" s="1" t="s">
        <v>323</v>
      </c>
      <c r="D220" s="1">
        <v>14.8</v>
      </c>
      <c r="E220" s="1">
        <v>1.3</v>
      </c>
      <c r="F220" s="1">
        <v>19.24</v>
      </c>
    </row>
    <row r="221" s="1" customFormat="1" spans="1:6">
      <c r="A221" s="1" t="s">
        <v>6</v>
      </c>
      <c r="B221" s="1" t="s">
        <v>451</v>
      </c>
      <c r="C221" s="1" t="s">
        <v>324</v>
      </c>
      <c r="D221" s="1">
        <v>14.8</v>
      </c>
      <c r="E221" s="1">
        <v>1.3</v>
      </c>
      <c r="F221" s="1">
        <v>19.24</v>
      </c>
    </row>
    <row r="222" s="1" customFormat="1" spans="1:6">
      <c r="A222" s="1" t="s">
        <v>6</v>
      </c>
      <c r="B222" s="1" t="s">
        <v>451</v>
      </c>
      <c r="C222" s="1" t="s">
        <v>325</v>
      </c>
      <c r="D222" s="1">
        <v>14.8</v>
      </c>
      <c r="E222" s="1">
        <v>1.55</v>
      </c>
      <c r="F222" s="1">
        <v>22.94</v>
      </c>
    </row>
    <row r="223" s="1" customFormat="1" spans="1:6">
      <c r="A223" s="1" t="s">
        <v>6</v>
      </c>
      <c r="B223" s="1" t="s">
        <v>451</v>
      </c>
      <c r="C223" s="1" t="s">
        <v>327</v>
      </c>
      <c r="D223" s="1">
        <v>14.8</v>
      </c>
      <c r="E223" s="1">
        <v>1.55</v>
      </c>
      <c r="F223" s="1">
        <v>22.94</v>
      </c>
    </row>
    <row r="224" s="1" customFormat="1" spans="1:6">
      <c r="A224" s="1" t="s">
        <v>6</v>
      </c>
      <c r="B224" s="1" t="s">
        <v>451</v>
      </c>
      <c r="C224" s="1" t="s">
        <v>20</v>
      </c>
      <c r="D224" s="1">
        <v>11.1</v>
      </c>
      <c r="E224" s="1">
        <v>2.1</v>
      </c>
      <c r="F224" s="1">
        <v>23.31</v>
      </c>
    </row>
    <row r="225" s="1" customFormat="1" spans="1:6">
      <c r="A225" s="1" t="s">
        <v>6</v>
      </c>
      <c r="B225" s="1" t="s">
        <v>451</v>
      </c>
      <c r="C225" s="1" t="s">
        <v>329</v>
      </c>
      <c r="D225" s="1">
        <v>18.5</v>
      </c>
      <c r="E225" s="1">
        <v>1.3</v>
      </c>
      <c r="F225" s="1">
        <v>24.05</v>
      </c>
    </row>
    <row r="226" s="1" customFormat="1" spans="1:6">
      <c r="A226" s="1" t="s">
        <v>6</v>
      </c>
      <c r="B226" s="1" t="s">
        <v>451</v>
      </c>
      <c r="C226" s="1" t="s">
        <v>17</v>
      </c>
      <c r="D226" s="1">
        <v>11.4</v>
      </c>
      <c r="E226" s="1">
        <v>2.2</v>
      </c>
      <c r="F226" s="1">
        <v>25.08</v>
      </c>
    </row>
    <row r="227" s="1" customFormat="1" spans="1:6">
      <c r="A227" s="1" t="s">
        <v>6</v>
      </c>
      <c r="B227" s="1" t="s">
        <v>451</v>
      </c>
      <c r="C227" s="1" t="s">
        <v>13</v>
      </c>
      <c r="D227" s="1">
        <v>7.4</v>
      </c>
      <c r="E227" s="1">
        <v>5</v>
      </c>
      <c r="F227" s="1">
        <v>37</v>
      </c>
    </row>
    <row r="228" s="1" customFormat="1" spans="1:6">
      <c r="A228" s="1" t="s">
        <v>6</v>
      </c>
      <c r="B228" s="1" t="s">
        <v>451</v>
      </c>
      <c r="C228" s="1" t="s">
        <v>21</v>
      </c>
      <c r="D228" s="1">
        <v>14.8</v>
      </c>
      <c r="E228" s="1">
        <v>3</v>
      </c>
      <c r="F228" s="1">
        <v>44.4</v>
      </c>
    </row>
    <row r="229" s="1" customFormat="1" spans="1:6">
      <c r="A229" s="1" t="s">
        <v>6</v>
      </c>
      <c r="B229" s="1" t="s">
        <v>451</v>
      </c>
      <c r="C229" s="1" t="s">
        <v>331</v>
      </c>
      <c r="D229" s="1">
        <v>22.2</v>
      </c>
      <c r="E229" s="1">
        <v>2.6</v>
      </c>
      <c r="F229" s="1">
        <v>57.72</v>
      </c>
    </row>
    <row r="230" s="1" customFormat="1" spans="1:6">
      <c r="A230" s="1" t="s">
        <v>6</v>
      </c>
      <c r="B230" s="1" t="s">
        <v>451</v>
      </c>
      <c r="C230" s="1" t="s">
        <v>333</v>
      </c>
      <c r="D230" s="1">
        <v>18.5</v>
      </c>
      <c r="E230" s="1">
        <v>4</v>
      </c>
      <c r="F230" s="1">
        <v>74</v>
      </c>
    </row>
    <row r="231" s="1" customFormat="1" spans="1:6">
      <c r="A231" s="1" t="s">
        <v>6</v>
      </c>
      <c r="B231" s="1" t="s">
        <v>451</v>
      </c>
      <c r="C231" s="1" t="s">
        <v>334</v>
      </c>
      <c r="D231" s="1">
        <v>18.5</v>
      </c>
      <c r="E231" s="1">
        <v>5</v>
      </c>
      <c r="F231" s="1">
        <v>92.5</v>
      </c>
    </row>
    <row r="232" s="1" customFormat="1" spans="1:6">
      <c r="A232" s="1" t="s">
        <v>6</v>
      </c>
      <c r="B232" s="1" t="s">
        <v>451</v>
      </c>
      <c r="C232" s="1" t="s">
        <v>336</v>
      </c>
      <c r="D232" s="1">
        <v>22.2</v>
      </c>
      <c r="E232" s="1">
        <v>12</v>
      </c>
      <c r="F232" s="1">
        <v>266.4</v>
      </c>
    </row>
    <row r="233" s="1" customFormat="1" spans="1:6">
      <c r="A233" s="1" t="s">
        <v>6</v>
      </c>
      <c r="B233" s="1" t="s">
        <v>451</v>
      </c>
      <c r="C233" s="1" t="s">
        <v>338</v>
      </c>
      <c r="D233" s="1">
        <v>22.2</v>
      </c>
      <c r="E233" s="1">
        <v>16</v>
      </c>
      <c r="F233" s="1">
        <v>355.2</v>
      </c>
    </row>
    <row r="234" s="1" customFormat="1" spans="1:6">
      <c r="A234" s="1" t="s">
        <v>340</v>
      </c>
      <c r="B234" s="1" t="s">
        <v>452</v>
      </c>
      <c r="C234" s="1" t="s">
        <v>342</v>
      </c>
      <c r="D234" s="1">
        <v>1.2</v>
      </c>
      <c r="E234" s="1">
        <v>2.4</v>
      </c>
      <c r="F234" s="1">
        <v>2.88</v>
      </c>
    </row>
    <row r="235" s="1" customFormat="1" spans="1:6">
      <c r="A235" s="1" t="s">
        <v>340</v>
      </c>
      <c r="B235" s="1" t="s">
        <v>453</v>
      </c>
      <c r="C235" s="1" t="s">
        <v>345</v>
      </c>
      <c r="D235" s="1">
        <v>2.4</v>
      </c>
      <c r="E235" s="1">
        <v>1.4</v>
      </c>
      <c r="F235" s="1">
        <v>3.36</v>
      </c>
    </row>
    <row r="236" s="1" customFormat="1" spans="1:6">
      <c r="A236" s="1" t="s">
        <v>347</v>
      </c>
      <c r="B236" s="1" t="s">
        <v>454</v>
      </c>
      <c r="C236" s="1" t="s">
        <v>349</v>
      </c>
      <c r="D236" s="1">
        <v>1.55</v>
      </c>
      <c r="E236" s="1">
        <v>0.018</v>
      </c>
      <c r="F236" s="1">
        <f>D236*E236</f>
        <v>0.0279</v>
      </c>
    </row>
    <row r="237" s="1" customFormat="1" spans="1:6">
      <c r="A237" s="1" t="s">
        <v>347</v>
      </c>
      <c r="B237" s="1" t="s">
        <v>454</v>
      </c>
      <c r="C237" s="1" t="s">
        <v>350</v>
      </c>
      <c r="D237" s="1">
        <v>1.55</v>
      </c>
      <c r="E237" s="1">
        <v>0.023</v>
      </c>
      <c r="F237" s="1">
        <f t="shared" ref="F237:F243" si="0">D237*E237</f>
        <v>0.03565</v>
      </c>
    </row>
    <row r="238" s="1" customFormat="1" spans="1:6">
      <c r="A238" s="1" t="s">
        <v>347</v>
      </c>
      <c r="B238" s="1" t="s">
        <v>454</v>
      </c>
      <c r="C238" s="1" t="s">
        <v>351</v>
      </c>
      <c r="D238" s="1">
        <v>1.55</v>
      </c>
      <c r="E238" s="1">
        <v>0.024</v>
      </c>
      <c r="F238" s="1">
        <f t="shared" si="0"/>
        <v>0.0372</v>
      </c>
    </row>
    <row r="239" s="1" customFormat="1" spans="1:6">
      <c r="A239" s="1" t="s">
        <v>347</v>
      </c>
      <c r="B239" s="1" t="s">
        <v>454</v>
      </c>
      <c r="C239" s="1" t="s">
        <v>352</v>
      </c>
      <c r="D239" s="1">
        <v>1.55</v>
      </c>
      <c r="E239" s="1">
        <v>0.028</v>
      </c>
      <c r="F239" s="1">
        <f t="shared" si="0"/>
        <v>0.0434</v>
      </c>
    </row>
    <row r="240" s="1" customFormat="1" spans="1:6">
      <c r="A240" s="1" t="s">
        <v>347</v>
      </c>
      <c r="B240" s="1" t="s">
        <v>454</v>
      </c>
      <c r="C240" s="1" t="s">
        <v>353</v>
      </c>
      <c r="D240" s="1">
        <v>1.55</v>
      </c>
      <c r="E240" s="1">
        <v>0.046</v>
      </c>
      <c r="F240" s="1">
        <f t="shared" si="0"/>
        <v>0.0713</v>
      </c>
    </row>
    <row r="241" s="1" customFormat="1" spans="1:6">
      <c r="A241" s="1" t="s">
        <v>347</v>
      </c>
      <c r="B241" s="1" t="s">
        <v>454</v>
      </c>
      <c r="C241" s="1" t="s">
        <v>354</v>
      </c>
      <c r="D241" s="1">
        <v>1.55</v>
      </c>
      <c r="E241" s="1">
        <v>0.06</v>
      </c>
      <c r="F241" s="1">
        <f t="shared" si="0"/>
        <v>0.093</v>
      </c>
    </row>
    <row r="242" s="1" customFormat="1" spans="1:6">
      <c r="A242" s="1" t="s">
        <v>347</v>
      </c>
      <c r="B242" s="1" t="s">
        <v>454</v>
      </c>
      <c r="C242" s="1" t="s">
        <v>356</v>
      </c>
      <c r="D242" s="1">
        <v>1.55</v>
      </c>
      <c r="E242" s="1">
        <v>0.08</v>
      </c>
      <c r="F242" s="1">
        <f t="shared" si="0"/>
        <v>0.124</v>
      </c>
    </row>
    <row r="243" s="1" customFormat="1" spans="1:6">
      <c r="A243" s="1" t="s">
        <v>347</v>
      </c>
      <c r="B243" s="1" t="s">
        <v>454</v>
      </c>
      <c r="C243" s="1" t="s">
        <v>357</v>
      </c>
      <c r="D243" s="1">
        <v>1.55</v>
      </c>
      <c r="E243" s="1">
        <v>0.085</v>
      </c>
      <c r="F243" s="1">
        <f t="shared" si="0"/>
        <v>0.13175</v>
      </c>
    </row>
    <row r="244" s="1" customFormat="1" spans="1:6">
      <c r="A244" s="1" t="s">
        <v>358</v>
      </c>
      <c r="B244" s="1" t="s">
        <v>455</v>
      </c>
      <c r="C244" s="1" t="s">
        <v>360</v>
      </c>
      <c r="D244" s="1">
        <v>3.2</v>
      </c>
      <c r="E244" s="1">
        <v>2</v>
      </c>
      <c r="F244" s="1">
        <v>6.4</v>
      </c>
    </row>
    <row r="245" s="1" customFormat="1" spans="1:6">
      <c r="A245" s="1" t="s">
        <v>358</v>
      </c>
      <c r="B245" s="1" t="s">
        <v>455</v>
      </c>
      <c r="C245" s="1" t="s">
        <v>361</v>
      </c>
      <c r="D245" s="1">
        <v>3.2</v>
      </c>
      <c r="E245" s="1">
        <v>3</v>
      </c>
      <c r="F245" s="1">
        <v>9.6</v>
      </c>
    </row>
    <row r="246" s="1" customFormat="1" spans="1:6">
      <c r="A246" s="1" t="s">
        <v>358</v>
      </c>
      <c r="B246" s="1" t="s">
        <v>455</v>
      </c>
      <c r="C246" s="1" t="s">
        <v>362</v>
      </c>
      <c r="D246" s="1">
        <v>3.2</v>
      </c>
      <c r="E246" s="1">
        <v>3.4</v>
      </c>
      <c r="F246" s="1">
        <v>10.88</v>
      </c>
    </row>
    <row r="247" s="1" customFormat="1" spans="1:6">
      <c r="A247" s="1" t="s">
        <v>358</v>
      </c>
      <c r="B247" s="1" t="s">
        <v>455</v>
      </c>
      <c r="C247" s="1" t="s">
        <v>364</v>
      </c>
      <c r="D247" s="1">
        <v>3.2</v>
      </c>
      <c r="E247" s="1">
        <v>4.5</v>
      </c>
      <c r="F247" s="1">
        <v>14.4</v>
      </c>
    </row>
    <row r="248" s="1" customFormat="1" spans="1:6">
      <c r="A248" s="1" t="s">
        <v>358</v>
      </c>
      <c r="B248" s="1" t="s">
        <v>456</v>
      </c>
      <c r="C248" s="1" t="s">
        <v>366</v>
      </c>
      <c r="D248" s="1">
        <v>3.2</v>
      </c>
      <c r="E248" s="1">
        <v>2.3</v>
      </c>
      <c r="F248" s="1">
        <v>7.36</v>
      </c>
    </row>
    <row r="249" s="1" customFormat="1" spans="1:6">
      <c r="A249" s="1" t="s">
        <v>358</v>
      </c>
      <c r="B249" s="1" t="s">
        <v>457</v>
      </c>
      <c r="C249" s="1" t="s">
        <v>369</v>
      </c>
      <c r="D249" s="1">
        <v>12.8</v>
      </c>
      <c r="E249" s="1">
        <v>3</v>
      </c>
      <c r="F249" s="1">
        <v>38.4</v>
      </c>
    </row>
    <row r="250" s="1" customFormat="1" spans="1:6">
      <c r="A250" s="1" t="s">
        <v>358</v>
      </c>
      <c r="B250" s="1" t="s">
        <v>457</v>
      </c>
      <c r="C250" s="1" t="s">
        <v>371</v>
      </c>
      <c r="D250" s="1">
        <v>12.8</v>
      </c>
      <c r="E250" s="1">
        <v>4</v>
      </c>
      <c r="F250" s="1">
        <v>51.2</v>
      </c>
    </row>
    <row r="251" s="1" customFormat="1" spans="1:6">
      <c r="A251" s="1" t="s">
        <v>358</v>
      </c>
      <c r="B251" s="1" t="s">
        <v>457</v>
      </c>
      <c r="C251" s="1" t="s">
        <v>373</v>
      </c>
      <c r="D251" s="1">
        <v>12.8</v>
      </c>
      <c r="E251" s="1">
        <v>6</v>
      </c>
      <c r="F251" s="1">
        <v>76.8</v>
      </c>
    </row>
    <row r="252" s="1" customFormat="1" spans="1:6">
      <c r="A252" s="1" t="s">
        <v>358</v>
      </c>
      <c r="B252" s="1" t="s">
        <v>457</v>
      </c>
      <c r="C252" s="1" t="s">
        <v>375</v>
      </c>
      <c r="D252" s="1">
        <v>12.8</v>
      </c>
      <c r="E252" s="1">
        <v>8</v>
      </c>
      <c r="F252" s="1">
        <v>102.4</v>
      </c>
    </row>
    <row r="253" s="1" customFormat="1" spans="1:6">
      <c r="A253" s="1" t="s">
        <v>358</v>
      </c>
      <c r="B253" s="1" t="s">
        <v>457</v>
      </c>
      <c r="C253" s="1" t="s">
        <v>377</v>
      </c>
      <c r="D253" s="1">
        <v>9.6</v>
      </c>
      <c r="E253" s="1">
        <v>4</v>
      </c>
      <c r="F253" s="1">
        <v>38.4</v>
      </c>
    </row>
    <row r="254" s="1" customFormat="1" spans="1:6">
      <c r="A254" s="1" t="s">
        <v>358</v>
      </c>
      <c r="B254" s="1" t="s">
        <v>457</v>
      </c>
      <c r="C254" s="1" t="s">
        <v>378</v>
      </c>
      <c r="D254" s="1">
        <v>9.6</v>
      </c>
      <c r="E254" s="1">
        <v>8</v>
      </c>
      <c r="F254" s="1">
        <v>76.8</v>
      </c>
    </row>
    <row r="255" spans="1:6">
      <c r="A255" s="1" t="s">
        <v>358</v>
      </c>
      <c r="B255" s="1" t="s">
        <v>458</v>
      </c>
      <c r="C255" t="s">
        <v>459</v>
      </c>
      <c r="D255" s="1">
        <v>12.8</v>
      </c>
      <c r="E255" s="1">
        <v>12</v>
      </c>
      <c r="F255" s="1">
        <f t="shared" ref="F255:F266" si="1">D255*E255</f>
        <v>153.6</v>
      </c>
    </row>
    <row r="256" spans="1:6">
      <c r="A256" s="1" t="s">
        <v>358</v>
      </c>
      <c r="B256" s="1" t="s">
        <v>458</v>
      </c>
      <c r="C256" t="s">
        <v>460</v>
      </c>
      <c r="D256" s="1">
        <v>12.8</v>
      </c>
      <c r="E256" s="1">
        <v>18</v>
      </c>
      <c r="F256" s="1">
        <f t="shared" si="1"/>
        <v>230.4</v>
      </c>
    </row>
    <row r="257" spans="1:6">
      <c r="A257" s="1" t="s">
        <v>358</v>
      </c>
      <c r="B257" s="1" t="s">
        <v>458</v>
      </c>
      <c r="C257" t="s">
        <v>461</v>
      </c>
      <c r="D257" s="1">
        <v>12.8</v>
      </c>
      <c r="E257" s="1">
        <v>4.5</v>
      </c>
      <c r="F257" s="1">
        <f t="shared" si="1"/>
        <v>57.6</v>
      </c>
    </row>
    <row r="258" spans="1:6">
      <c r="A258" s="1" t="s">
        <v>358</v>
      </c>
      <c r="B258" s="1" t="s">
        <v>458</v>
      </c>
      <c r="C258" t="s">
        <v>462</v>
      </c>
      <c r="D258" s="1">
        <v>12.8</v>
      </c>
      <c r="E258" s="1">
        <v>7.5</v>
      </c>
      <c r="F258" s="1">
        <f t="shared" si="1"/>
        <v>96</v>
      </c>
    </row>
    <row r="259" spans="1:6">
      <c r="A259" s="1" t="s">
        <v>358</v>
      </c>
      <c r="B259" s="1" t="s">
        <v>458</v>
      </c>
      <c r="C259" t="s">
        <v>463</v>
      </c>
      <c r="D259" s="1">
        <v>6.4</v>
      </c>
      <c r="E259" s="1">
        <v>4.5</v>
      </c>
      <c r="F259" s="1">
        <f t="shared" si="1"/>
        <v>28.8</v>
      </c>
    </row>
    <row r="260" spans="1:6">
      <c r="A260" s="1" t="s">
        <v>358</v>
      </c>
      <c r="B260" s="1" t="s">
        <v>464</v>
      </c>
      <c r="C260" t="s">
        <v>465</v>
      </c>
      <c r="D260" s="1">
        <v>3.2</v>
      </c>
      <c r="E260" s="1">
        <v>50</v>
      </c>
      <c r="F260" s="1">
        <f t="shared" si="1"/>
        <v>160</v>
      </c>
    </row>
    <row r="261" spans="1:6">
      <c r="A261" s="1" t="s">
        <v>358</v>
      </c>
      <c r="B261" s="1" t="s">
        <v>464</v>
      </c>
      <c r="C261" t="s">
        <v>466</v>
      </c>
      <c r="D261" s="1">
        <v>12.8</v>
      </c>
      <c r="E261" s="1">
        <v>100</v>
      </c>
      <c r="F261" s="1">
        <f t="shared" si="1"/>
        <v>1280</v>
      </c>
    </row>
    <row r="262" spans="1:6">
      <c r="A262" s="1" t="s">
        <v>358</v>
      </c>
      <c r="B262" s="1" t="s">
        <v>464</v>
      </c>
      <c r="C262" t="s">
        <v>467</v>
      </c>
      <c r="D262" s="1">
        <v>12.8</v>
      </c>
      <c r="E262" s="1">
        <v>12</v>
      </c>
      <c r="F262" s="1">
        <f t="shared" si="1"/>
        <v>153.6</v>
      </c>
    </row>
    <row r="263" spans="1:6">
      <c r="A263" s="1" t="s">
        <v>358</v>
      </c>
      <c r="B263" s="1" t="s">
        <v>464</v>
      </c>
      <c r="C263" t="s">
        <v>468</v>
      </c>
      <c r="D263" s="1">
        <v>12.8</v>
      </c>
      <c r="E263" s="1">
        <v>20</v>
      </c>
      <c r="F263" s="1">
        <f t="shared" si="1"/>
        <v>256</v>
      </c>
    </row>
    <row r="264" spans="1:6">
      <c r="A264" s="1" t="s">
        <v>358</v>
      </c>
      <c r="B264" s="1" t="s">
        <v>464</v>
      </c>
      <c r="C264" t="s">
        <v>469</v>
      </c>
      <c r="D264" s="1">
        <v>12.8</v>
      </c>
      <c r="E264" s="1">
        <v>35</v>
      </c>
      <c r="F264" s="1">
        <f t="shared" si="1"/>
        <v>448</v>
      </c>
    </row>
    <row r="265" spans="1:6">
      <c r="A265" s="1" t="s">
        <v>358</v>
      </c>
      <c r="B265" s="1" t="s">
        <v>464</v>
      </c>
      <c r="C265" t="s">
        <v>470</v>
      </c>
      <c r="D265" s="1">
        <v>12.8</v>
      </c>
      <c r="E265" s="1">
        <v>75</v>
      </c>
      <c r="F265" s="1">
        <f t="shared" si="1"/>
        <v>960</v>
      </c>
    </row>
    <row r="266" spans="3:6">
      <c r="C266" t="s">
        <v>471</v>
      </c>
      <c r="D266" s="1">
        <v>12.8</v>
      </c>
      <c r="E266" s="1">
        <v>9</v>
      </c>
      <c r="F266" s="1">
        <f t="shared" si="1"/>
        <v>115.2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Hoja 2</vt:lpstr>
      <vt:lpstr>Hoja 3</vt:lpstr>
      <vt:lpstr>Hoja 4</vt:lpstr>
      <vt:lpstr>Baterias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Magdiel Ramirez</cp:lastModifiedBy>
  <dcterms:created xsi:type="dcterms:W3CDTF">2025-10-09T16:24:00Z</dcterms:created>
  <dcterms:modified xsi:type="dcterms:W3CDTF">2025-11-06T17:21:50Z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81E79FF7DC07483F890E297411DF0505_12</vt:lpwstr>
  </property>
  <property fmtid="{D5CDD505-2E9C-101B-9397-08002B2CF9AE}" pid="3" name="KSOProductBuildVer">
    <vt:lpwstr>2058-12.2.0.23131</vt:lpwstr>
  </property>
</Properties>
</file>